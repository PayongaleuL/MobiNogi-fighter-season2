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종합" sheetId="1" r:id="rId5"/>
    <sheet state="visible" name="펫" sheetId="2" r:id="rId6"/>
    <sheet state="visible" name="보석" sheetId="3" r:id="rId7"/>
    <sheet state="visible" name="무기룬" sheetId="4" r:id="rId8"/>
    <sheet state="visible" name="방어구룬" sheetId="5" r:id="rId9"/>
    <sheet state="visible" name="엠블럼룬" sheetId="6" r:id="rId10"/>
    <sheet state="visible" name="공격력변환" sheetId="7" r:id="rId11"/>
    <sheet state="visible" name="스킬 및 딜사이클" sheetId="8" r:id="rId12"/>
    <sheet state="visible" name="헬퍼테이블" sheetId="9" r:id="rId13"/>
  </sheets>
  <definedNames/>
  <calcPr/>
</workbook>
</file>

<file path=xl/sharedStrings.xml><?xml version="1.0" encoding="utf-8"?>
<sst xmlns="http://schemas.openxmlformats.org/spreadsheetml/2006/main" count="937" uniqueCount="512">
  <si>
    <t>격투가 종합 계산기 v2.3 -시즌1</t>
  </si>
  <si>
    <t>이 색상의 셀만 조작해주세요.</t>
  </si>
  <si>
    <t>무쇠손/라사</t>
  </si>
  <si>
    <t>현재셋팅</t>
  </si>
  <si>
    <t>셋팅1</t>
  </si>
  <si>
    <t>셋팅2</t>
  </si>
  <si>
    <t>셋팅3</t>
  </si>
  <si>
    <t>조건</t>
  </si>
  <si>
    <t>전투시간</t>
  </si>
  <si>
    <t>초</t>
  </si>
  <si>
    <t>함선 허수아비</t>
  </si>
  <si>
    <t>방어도계수</t>
  </si>
  <si>
    <t>충전획득량(초당)</t>
  </si>
  <si>
    <t>무빙시간</t>
  </si>
  <si>
    <t>예상되는 기믹으로 인한 무빙시간</t>
  </si>
  <si>
    <t>기본수치</t>
  </si>
  <si>
    <t>증가수치</t>
  </si>
  <si>
    <t>적용수치</t>
  </si>
  <si>
    <t>궁극기횟수</t>
  </si>
  <si>
    <t>궁극기를 사용할 횟수를 입력합니다.</t>
  </si>
  <si>
    <t>공격력</t>
  </si>
  <si>
    <t>무방비시간</t>
  </si>
  <si>
    <t>예상되는 보스몹의 브레이크시간입니다.</t>
  </si>
  <si>
    <t>조건부공증</t>
  </si>
  <si>
    <t>기믹피증</t>
  </si>
  <si>
    <t>%</t>
  </si>
  <si>
    <t>이명, 부채꼴, 바닥등등의 피증의 평균입니다.</t>
  </si>
  <si>
    <t>주는피해증가</t>
  </si>
  <si>
    <t>힐러계열 피증</t>
  </si>
  <si>
    <t>힐러계열의 효과를 받는다면 입력해주세요.</t>
  </si>
  <si>
    <t>받는피해증가</t>
  </si>
  <si>
    <t>룬, 스킬받피증</t>
  </si>
  <si>
    <t>방어구파괴(최대 10퍼 심찌,차징피스트등등)</t>
  </si>
  <si>
    <t>강타피해증가</t>
  </si>
  <si>
    <t>인챈트 공증(%)</t>
  </si>
  <si>
    <t>강타피해(%)</t>
  </si>
  <si>
    <t>연타피해(%)</t>
  </si>
  <si>
    <t>연타피해증가</t>
  </si>
  <si>
    <t>룬</t>
  </si>
  <si>
    <t>무기</t>
  </si>
  <si>
    <t>망각+</t>
  </si>
  <si>
    <t>초월++</t>
  </si>
  <si>
    <t>방어구1</t>
  </si>
  <si>
    <t>압도적인 힘</t>
  </si>
  <si>
    <t>추가타피해</t>
  </si>
  <si>
    <t>장신구1</t>
  </si>
  <si>
    <t>약점</t>
  </si>
  <si>
    <t>초월+</t>
  </si>
  <si>
    <t>방어구2</t>
  </si>
  <si>
    <t>섬세한 손놀림</t>
  </si>
  <si>
    <t>치명타피해</t>
  </si>
  <si>
    <t>무기~치명타까지
복사됩니다.</t>
  </si>
  <si>
    <t>장신구2</t>
  </si>
  <si>
    <t>전진</t>
  </si>
  <si>
    <t>방어구3</t>
  </si>
  <si>
    <t>일렁이는 불꽃</t>
  </si>
  <si>
    <t>콤보피해증가</t>
  </si>
  <si>
    <t>평균치</t>
  </si>
  <si>
    <t>기본공격력</t>
  </si>
  <si>
    <t>장신구3</t>
  </si>
  <si>
    <t>강격</t>
  </si>
  <si>
    <t>방어구4</t>
  </si>
  <si>
    <t>바스러지는 빛</t>
  </si>
  <si>
    <t>일반</t>
  </si>
  <si>
    <t>멀티피해증가</t>
  </si>
  <si>
    <t>어비스에서 유효</t>
  </si>
  <si>
    <t>엠블럼</t>
  </si>
  <si>
    <t>아득한 빛</t>
  </si>
  <si>
    <t>방어구5</t>
  </si>
  <si>
    <t>산들바람</t>
  </si>
  <si>
    <t>스킬피해증가</t>
  </si>
  <si>
    <t>스텟</t>
  </si>
  <si>
    <t>마을공격력을 입력해주세요&gt;&gt;&gt;&gt;&gt;&gt;</t>
  </si>
  <si>
    <t>I5에 입력&gt;&gt;&gt;</t>
  </si>
  <si>
    <t>추가타확률</t>
  </si>
  <si>
    <t>브레이크</t>
  </si>
  <si>
    <t>브레이크시 데미지가 증가합니다.</t>
  </si>
  <si>
    <t>공증에 가려진 기본공격력입니다.</t>
  </si>
  <si>
    <t>치명타확률</t>
  </si>
  <si>
    <t>강타강화</t>
  </si>
  <si>
    <t>강타 데미지가 증가합니다.(연타와합연산)</t>
  </si>
  <si>
    <t>처음한번만 하면됩니다 단,</t>
  </si>
  <si>
    <t>캐스팅속도</t>
  </si>
  <si>
    <t>콤보강화</t>
  </si>
  <si>
    <t>콤보 데미지가 증가합니다.</t>
  </si>
  <si>
    <t>6,7성룬 섞이면 다시하세요</t>
  </si>
  <si>
    <t>무방비피해증가</t>
  </si>
  <si>
    <t>스킬위력</t>
  </si>
  <si>
    <t>스킬피해증가 수치가 증가합니다.</t>
  </si>
  <si>
    <t>수치를 모른다면</t>
  </si>
  <si>
    <t>회복속도증가</t>
  </si>
  <si>
    <t>광역강화</t>
  </si>
  <si>
    <t>멀티피해 데미지가 증가합니다.</t>
  </si>
  <si>
    <t>'공격력변환'시트로</t>
  </si>
  <si>
    <t>스킬속도증가</t>
  </si>
  <si>
    <t>추가타</t>
  </si>
  <si>
    <t>추가타 확률이 증가합니다.</t>
  </si>
  <si>
    <t>공격속도증가</t>
  </si>
  <si>
    <t>빠른공격</t>
  </si>
  <si>
    <t>평타사용시간이 줄어듭니다.</t>
  </si>
  <si>
    <t>기본공격추가타</t>
  </si>
  <si>
    <t>연타강화</t>
  </si>
  <si>
    <t>연타 데미지가 증가합니다.(강타와합연산)</t>
  </si>
  <si>
    <t>궁극기획득량</t>
  </si>
  <si>
    <t>빠른스킬</t>
  </si>
  <si>
    <t>스킬사용시간이 줄어듭니다.</t>
  </si>
  <si>
    <r>
      <rPr>
        <rFont val="Arial"/>
        <color theme="1"/>
      </rPr>
      <t>직접피해</t>
    </r>
    <r>
      <rPr>
        <rFont val="Arial"/>
        <color theme="1"/>
        <sz val="8.0"/>
      </rPr>
      <t>(초당계수)</t>
    </r>
  </si>
  <si>
    <t>딜사이클</t>
  </si>
  <si>
    <t>궁극기</t>
  </si>
  <si>
    <t>궁극기스택이 획득량이 증가합니다</t>
  </si>
  <si>
    <r>
      <rPr>
        <rFont val="Arial"/>
        <color theme="1"/>
      </rPr>
      <t>지속피해</t>
    </r>
    <r>
      <rPr>
        <rFont val="Arial"/>
        <color theme="1"/>
        <sz val="8.0"/>
      </rPr>
      <t>(초당계수)</t>
    </r>
  </si>
  <si>
    <t>치명타</t>
  </si>
  <si>
    <t>치명타 확률 및 피해가 증가합니다.</t>
  </si>
  <si>
    <t>이동속도</t>
  </si>
  <si>
    <t>세공</t>
  </si>
  <si>
    <t>강타 뎀증</t>
  </si>
  <si>
    <t>강타 쿨감</t>
  </si>
  <si>
    <t>헬리오도르</t>
  </si>
  <si>
    <t>특이사항</t>
  </si>
  <si>
    <t>궁극기시간</t>
  </si>
  <si>
    <t>이동 뎀증</t>
  </si>
  <si>
    <t>이동 쿨감</t>
  </si>
  <si>
    <t>그린 헬리오도르</t>
  </si>
  <si>
    <t>보조 뎀증</t>
  </si>
  <si>
    <t>보조 쿨감</t>
  </si>
  <si>
    <t>직접, 지속피해 지분</t>
  </si>
  <si>
    <t>방해 뎀증</t>
  </si>
  <si>
    <t>방해 쿨감</t>
  </si>
  <si>
    <t>대상</t>
  </si>
  <si>
    <t>생존 뎀증</t>
  </si>
  <si>
    <t>생존 쿨감</t>
  </si>
  <si>
    <t>무빙계수</t>
  </si>
  <si>
    <t>스킬 개조</t>
  </si>
  <si>
    <t>펫</t>
  </si>
  <si>
    <t>예상 DPS</t>
  </si>
  <si>
    <t>딜사이클
및
DPS</t>
  </si>
  <si>
    <t>현재셋팅 저장</t>
  </si>
  <si>
    <t>평상시</t>
  </si>
  <si>
    <t>평소 무방비시</t>
  </si>
  <si>
    <t>궁극기 사용시</t>
  </si>
  <si>
    <t>무방비 궁극기 사용시</t>
  </si>
  <si>
    <t>합계</t>
  </si>
  <si>
    <t>비교값</t>
  </si>
  <si>
    <t>2352 12</t>
  </si>
  <si>
    <t>252</t>
  </si>
  <si>
    <t>콤보강화변수</t>
  </si>
  <si>
    <t>이 계산기의 목적은 셋팅간 우위를 찾아보기 위한것임
오차범위내라면 허수아비등으로 체크를 다시해보는걸 추천함                     
반영된것
검무등등 대부분의 축적, 누적룬 가동률, 재사용시간 회복속도룬, 쿨감룬,
갈땅의 추가공격은 추가타피해로 계산함
반영안된것
필사의일격 쿨초기화, ###약점 카운터조건###, 종언의 적처치시 효과
궁극기 dps 반영시 사이클단위가 아님 본인만의 루틴이있으면 그게더좋음
1-2 사거리가 짧아서 드라군처럼 무빙하는것, 종언+ 조건부 공증
궁극기 3초 선딜
주의해야할것
각성과 궁극기 사용을 맞출경우 dps가 계산기보다 더 높게나올수있음
궁쿨감과 세공쿨감 곱연으로 계산함
트리거는 모두 만족한것으로 계산함</t>
  </si>
  <si>
    <t>시간(초)</t>
  </si>
  <si>
    <t>초당스킬횟수</t>
  </si>
  <si>
    <t>초당평타횟수</t>
  </si>
  <si>
    <t>스킬 및 평타 DPS</t>
  </si>
  <si>
    <t>직접피해 DPS</t>
  </si>
  <si>
    <t>지속피해 DPS</t>
  </si>
  <si>
    <t>추천
딜사이클</t>
  </si>
  <si>
    <t>2352 44 3142</t>
  </si>
  <si>
    <t>2352</t>
  </si>
  <si>
    <t>딜사이클을 입력할때 
평상시는 1사이클 기준 궁극기는
2사이클 기준으로 입력해주세요.
잘모르겠으면 추천에서 고르세요.</t>
  </si>
  <si>
    <t>강격+약점</t>
  </si>
  <si>
    <t>2352 444 312</t>
  </si>
  <si>
    <t>망각+강격+약점</t>
  </si>
  <si>
    <t>2352 312</t>
  </si>
  <si>
    <t>열혈</t>
  </si>
  <si>
    <t>5255 5535</t>
  </si>
  <si>
    <t>523255</t>
  </si>
  <si>
    <t>525352 444 12</t>
  </si>
  <si>
    <t>주요 펫 보유효과 및 고유스킬 (전설)</t>
  </si>
  <si>
    <t>고유스킬</t>
  </si>
  <si>
    <t>보유효과</t>
  </si>
  <si>
    <t>태그</t>
  </si>
  <si>
    <t>그 외</t>
  </si>
  <si>
    <t>쿨감</t>
  </si>
  <si>
    <t>초당궁극기회복</t>
  </si>
  <si>
    <t>무방비데미지증가</t>
  </si>
  <si>
    <t>공속,스속</t>
  </si>
  <si>
    <t>강타데미지증가평균</t>
  </si>
  <si>
    <t>골든 리트리버</t>
  </si>
  <si>
    <t>무옵</t>
  </si>
  <si>
    <t>공584 치1095</t>
  </si>
  <si>
    <t>블랙탄 포메라니안</t>
  </si>
  <si>
    <t>궁극의 응원S</t>
  </si>
  <si>
    <t>공584 강1095</t>
  </si>
  <si>
    <t>일반스킬</t>
  </si>
  <si>
    <t>갈색 포메라니안</t>
  </si>
  <si>
    <t>궁극의 응원SS</t>
  </si>
  <si>
    <t>공584 광1095</t>
  </si>
  <si>
    <t>연회색 라쿤</t>
  </si>
  <si>
    <t>연1095 치1095</t>
  </si>
  <si>
    <t>까만 아기 늑대</t>
  </si>
  <si>
    <t>브레이크 하울링SS</t>
  </si>
  <si>
    <t>공584 스위1095</t>
  </si>
  <si>
    <t>흰 아기 올빼미</t>
  </si>
  <si>
    <t>쾌속의 날갯짓SS</t>
  </si>
  <si>
    <t>공584 추1095</t>
  </si>
  <si>
    <t>'펫'시트는 DPS에 유의미한 스킬을 계산하기 위함입니다.  펫이 넘어지는 것은 반영되지않음
(빙결, 화상트리거류 제외)
펫의 동행능력치는 '종합'시트에서 직접 반영하여 입력 하셔야합니다.</t>
  </si>
  <si>
    <t>흰 햄스터</t>
  </si>
  <si>
    <t>작은 동반자의 응원S</t>
  </si>
  <si>
    <t>연1095 브1095</t>
  </si>
  <si>
    <t>골든 햄스터</t>
  </si>
  <si>
    <t>작은 동반자의 응원SS</t>
  </si>
  <si>
    <t>스위1095 빠스1095</t>
  </si>
  <si>
    <t>연갈색 시추</t>
  </si>
  <si>
    <t>치1095 추1095</t>
  </si>
  <si>
    <t>쿨감이후</t>
  </si>
  <si>
    <t>궁극의 응원</t>
  </si>
  <si>
    <t>플레이어의 궁극기 게이지 충전</t>
  </si>
  <si>
    <t>브레이크 하울링</t>
  </si>
  <si>
    <t>6초 동안 무방비 대미지 증가</t>
  </si>
  <si>
    <t>브레이크 하울링S</t>
  </si>
  <si>
    <t>쾌속의 날갯짓</t>
  </si>
  <si>
    <t>5초 동안 스킬 , 공격속도 증가</t>
  </si>
  <si>
    <t>쾌속의 날갯짓S</t>
  </si>
  <si>
    <t>작은 동반자의 응원</t>
  </si>
  <si>
    <t>10초동안 강타대미지 증가</t>
  </si>
  <si>
    <t>헬리오</t>
  </si>
  <si>
    <t>그린헬리</t>
  </si>
  <si>
    <t>연타 뎀증</t>
  </si>
  <si>
    <t>소환 뎀증</t>
  </si>
  <si>
    <t>원소 뎀증</t>
  </si>
  <si>
    <t>연타 쿨감</t>
  </si>
  <si>
    <t>소환 쿨감</t>
  </si>
  <si>
    <t>원소 쿨감</t>
  </si>
  <si>
    <t>목걸이</t>
  </si>
  <si>
    <t>반지</t>
  </si>
  <si>
    <t>모자</t>
  </si>
  <si>
    <t>상의</t>
  </si>
  <si>
    <t>하의</t>
  </si>
  <si>
    <t>장갑</t>
  </si>
  <si>
    <t>신발</t>
  </si>
  <si>
    <t>무기 룬</t>
  </si>
  <si>
    <t>사용여부</t>
  </si>
  <si>
    <t>가동률</t>
  </si>
  <si>
    <t>공증</t>
  </si>
  <si>
    <t>조건공증</t>
  </si>
  <si>
    <t>주피증</t>
  </si>
  <si>
    <t>받피증</t>
  </si>
  <si>
    <t>강타</t>
  </si>
  <si>
    <t>연타</t>
  </si>
  <si>
    <t>추피</t>
  </si>
  <si>
    <t>치피</t>
  </si>
  <si>
    <t>콤보피증</t>
  </si>
  <si>
    <t>멀티피증</t>
  </si>
  <si>
    <t>스킬피증</t>
  </si>
  <si>
    <t>추확</t>
  </si>
  <si>
    <t>치확</t>
  </si>
  <si>
    <t>캐속</t>
  </si>
  <si>
    <t>무방</t>
  </si>
  <si>
    <t>재속</t>
  </si>
  <si>
    <t>스속</t>
  </si>
  <si>
    <t>공속</t>
  </si>
  <si>
    <t>공추</t>
  </si>
  <si>
    <t>궁획</t>
  </si>
  <si>
    <t>피해</t>
  </si>
  <si>
    <t>지속피해</t>
  </si>
  <si>
    <t>이속</t>
  </si>
  <si>
    <t>연타가동률</t>
  </si>
  <si>
    <t>천 자루 검</t>
  </si>
  <si>
    <t>불길</t>
  </si>
  <si>
    <t>결정</t>
  </si>
  <si>
    <t>뇌명</t>
  </si>
  <si>
    <t>독사+</t>
  </si>
  <si>
    <t>공포</t>
  </si>
  <si>
    <t>집행자</t>
  </si>
  <si>
    <t>야수+</t>
  </si>
  <si>
    <t>밤+</t>
  </si>
  <si>
    <t>투사+</t>
  </si>
  <si>
    <t>결함</t>
  </si>
  <si>
    <t>은둔자+</t>
  </si>
  <si>
    <t>평타쿨감9%</t>
  </si>
  <si>
    <t>망각(에픽)</t>
  </si>
  <si>
    <t>평타쿨감8%</t>
  </si>
  <si>
    <t>서리바람+</t>
  </si>
  <si>
    <t>옛 마법사</t>
  </si>
  <si>
    <t>물결치는 날</t>
  </si>
  <si>
    <t>평타1.52피해</t>
  </si>
  <si>
    <t>파괴자+</t>
  </si>
  <si>
    <t>검무+</t>
  </si>
  <si>
    <t>누적</t>
  </si>
  <si>
    <t>무수한 궤적</t>
  </si>
  <si>
    <t>마지막 자비</t>
  </si>
  <si>
    <t>끝없는 순환</t>
  </si>
  <si>
    <t>종언+</t>
  </si>
  <si>
    <t>쫄한정</t>
  </si>
  <si>
    <t>영웅</t>
  </si>
  <si>
    <t>만 갈래 물길</t>
  </si>
  <si>
    <t>무기룬에서 수치입력</t>
  </si>
  <si>
    <t>흰 까마귀</t>
  </si>
  <si>
    <t>무기룬에서 강화입력</t>
  </si>
  <si>
    <t>메아리치는 진노</t>
  </si>
  <si>
    <t>광역속성피해</t>
  </si>
  <si>
    <t>무한</t>
  </si>
  <si>
    <t>빈값</t>
  </si>
  <si>
    <t>폭군</t>
  </si>
  <si>
    <t>천체 정렬</t>
  </si>
  <si>
    <t>방어구 룬</t>
  </si>
  <si>
    <t>횃불</t>
  </si>
  <si>
    <t>쇄빙</t>
  </si>
  <si>
    <t>마나 격류</t>
  </si>
  <si>
    <t>바위거인</t>
  </si>
  <si>
    <t>평원 방랑자</t>
  </si>
  <si>
    <t>파멸의 낙인</t>
  </si>
  <si>
    <t>공명하는 수정</t>
  </si>
  <si>
    <t>여명+</t>
  </si>
  <si>
    <t>황혼</t>
  </si>
  <si>
    <t>바위 감시자</t>
  </si>
  <si>
    <t>쇄도+</t>
  </si>
  <si>
    <t>무도가+</t>
  </si>
  <si>
    <t>해결사+</t>
  </si>
  <si>
    <t>들불</t>
  </si>
  <si>
    <t>설산</t>
  </si>
  <si>
    <t>절개+</t>
  </si>
  <si>
    <t>환영+</t>
  </si>
  <si>
    <t>방어구파괴</t>
  </si>
  <si>
    <t>황금 들판</t>
  </si>
  <si>
    <t>모래 폭풍</t>
  </si>
  <si>
    <t>무방비조건</t>
  </si>
  <si>
    <t>황폐+</t>
  </si>
  <si>
    <t>신성한 칙령</t>
  </si>
  <si>
    <t>준비된 자</t>
  </si>
  <si>
    <t>저무는 달</t>
  </si>
  <si>
    <t>땅울림</t>
  </si>
  <si>
    <t>신전기사</t>
  </si>
  <si>
    <t>근위병+</t>
  </si>
  <si>
    <t>침묵하는 산</t>
  </si>
  <si>
    <t>필사+</t>
  </si>
  <si>
    <t>파멸+</t>
  </si>
  <si>
    <t>궁극기사용시20초동안</t>
  </si>
  <si>
    <t>집정관</t>
  </si>
  <si>
    <t>새벽별</t>
  </si>
  <si>
    <t>조건부회속속도증가</t>
  </si>
  <si>
    <t>눈 먼 예언자</t>
  </si>
  <si>
    <t>각성재사용시간38초</t>
  </si>
  <si>
    <t>각성종속</t>
  </si>
  <si>
    <t>성역+</t>
  </si>
  <si>
    <t>불안정한 힘</t>
  </si>
  <si>
    <t>고대 수호자</t>
  </si>
  <si>
    <t>갈퀴발톱+</t>
  </si>
  <si>
    <t>2-1,444스피증0.24</t>
  </si>
  <si>
    <t>태양</t>
  </si>
  <si>
    <t>싹쓸바람</t>
  </si>
  <si>
    <t>혼돈</t>
  </si>
  <si>
    <t>붕괴하는 별</t>
  </si>
  <si>
    <t>돌격대장+</t>
  </si>
  <si>
    <t>도발없음</t>
  </si>
  <si>
    <t>지휘관</t>
  </si>
  <si>
    <t>응징+</t>
  </si>
  <si>
    <t>피회복</t>
  </si>
  <si>
    <t>집념+</t>
  </si>
  <si>
    <t>분쇄+</t>
  </si>
  <si>
    <t>쌍둥이 별</t>
  </si>
  <si>
    <t>누적*2</t>
  </si>
  <si>
    <t>푸른 거목</t>
  </si>
  <si>
    <t>축적50회</t>
  </si>
  <si>
    <t>어두운 징조</t>
  </si>
  <si>
    <t>누적 궁극기횟수</t>
  </si>
  <si>
    <t>요정 무리</t>
  </si>
  <si>
    <t>축적 스킬7회 쿨감 2.1초</t>
  </si>
  <si>
    <t>수정 꽃잎</t>
  </si>
  <si>
    <t>축적 치명타6회</t>
  </si>
  <si>
    <t>나무 사슴</t>
  </si>
  <si>
    <t>축적 추가타6회</t>
  </si>
  <si>
    <t>에메랄드 숲</t>
  </si>
  <si>
    <t>축적*2</t>
  </si>
  <si>
    <t>불사</t>
  </si>
  <si>
    <t>부활</t>
  </si>
  <si>
    <t>싸움꾼</t>
  </si>
  <si>
    <t>약탈자</t>
  </si>
  <si>
    <t>추가타시 피회복</t>
  </si>
  <si>
    <t>원소 조화</t>
  </si>
  <si>
    <t>다가오는 죽음</t>
  </si>
  <si>
    <t>잊힌 성소</t>
  </si>
  <si>
    <t>명중률0.5</t>
  </si>
  <si>
    <t>닫힌 운명</t>
  </si>
  <si>
    <t>검게 물든 후광</t>
  </si>
  <si>
    <t>방어구룬에서 강화입력</t>
  </si>
  <si>
    <t>그림자로 엮은 회랑</t>
  </si>
  <si>
    <t>세상을 삼키는 악의</t>
  </si>
  <si>
    <t>이름 없는 혼돈</t>
  </si>
  <si>
    <t>영원</t>
  </si>
  <si>
    <t>결함제거</t>
  </si>
  <si>
    <t>쏟아지는 별</t>
  </si>
  <si>
    <t>궁극기마다 추가공격</t>
  </si>
  <si>
    <t>기본기1</t>
  </si>
  <si>
    <t>기본기2</t>
  </si>
  <si>
    <t>기본기3</t>
  </si>
  <si>
    <t>기본기4</t>
  </si>
  <si>
    <t>기본기5</t>
  </si>
  <si>
    <t>유성</t>
  </si>
  <si>
    <t>초신성</t>
  </si>
  <si>
    <t>창백한 섬광</t>
  </si>
  <si>
    <t>울려퍼지는 천둥</t>
  </si>
  <si>
    <t>번개 채찍</t>
  </si>
  <si>
    <t>광전사의 면갑</t>
  </si>
  <si>
    <t>엠블럼 룬</t>
  </si>
  <si>
    <t>현란함</t>
  </si>
  <si>
    <t>지혜로움</t>
  </si>
  <si>
    <t>쿨감18%</t>
  </si>
  <si>
    <t>무자비한 포식자</t>
  </si>
  <si>
    <t>무방비공격시</t>
  </si>
  <si>
    <t>각성</t>
  </si>
  <si>
    <t>순수한 힘</t>
  </si>
  <si>
    <t>궁극기사용시30초동안</t>
  </si>
  <si>
    <t>부서진 하늘</t>
  </si>
  <si>
    <t>인도하는 빛</t>
  </si>
  <si>
    <t>궁극기사용시15초동안</t>
  </si>
  <si>
    <t>대마법사</t>
  </si>
  <si>
    <t>차지1-1피해0.14</t>
  </si>
  <si>
    <t>흩날리는검</t>
  </si>
  <si>
    <t>산맥 군주</t>
  </si>
  <si>
    <t>갈라진땅</t>
  </si>
  <si>
    <t>빈값(엠블럼)</t>
  </si>
  <si>
    <t>강화</t>
  </si>
  <si>
    <t>6성</t>
  </si>
  <si>
    <t>7성</t>
  </si>
  <si>
    <t>8성</t>
  </si>
  <si>
    <t>'종합'시트의 I4(공격력기본수치)를 입력할때 무기룬은</t>
  </si>
  <si>
    <t>이였으며 강화는</t>
  </si>
  <si>
    <t>18강</t>
  </si>
  <si>
    <t>이였습니다.</t>
  </si>
  <si>
    <t>0강</t>
  </si>
  <si>
    <t>무기룬 적용시 공격력기본수치를 알고싶습니다.</t>
  </si>
  <si>
    <t>&gt;&gt;&gt;&gt;&gt;&gt;&gt;&gt;&gt;&gt;&gt;&gt;</t>
  </si>
  <si>
    <t>'종합'I5에 입력</t>
  </si>
  <si>
    <t>1강</t>
  </si>
  <si>
    <t>정확한값이 아니라 근사값임</t>
  </si>
  <si>
    <t>2강</t>
  </si>
  <si>
    <t>3강</t>
  </si>
  <si>
    <t>4강</t>
  </si>
  <si>
    <t>5강</t>
  </si>
  <si>
    <t>6강</t>
  </si>
  <si>
    <t>7강</t>
  </si>
  <si>
    <t>8강</t>
  </si>
  <si>
    <t>9강</t>
  </si>
  <si>
    <t>10강</t>
  </si>
  <si>
    <t>11강</t>
  </si>
  <si>
    <t>12강</t>
  </si>
  <si>
    <t>13강</t>
  </si>
  <si>
    <t>14강</t>
  </si>
  <si>
    <t>15강</t>
  </si>
  <si>
    <t>16강</t>
  </si>
  <si>
    <t>17강</t>
  </si>
  <si>
    <t>19강</t>
  </si>
  <si>
    <t>스킬레벨</t>
  </si>
  <si>
    <t>스킬이름</t>
  </si>
  <si>
    <t>1-1</t>
  </si>
  <si>
    <t>순정</t>
  </si>
  <si>
    <t>1-2</t>
  </si>
  <si>
    <t>2-1</t>
  </si>
  <si>
    <t>2-2</t>
  </si>
  <si>
    <t>3</t>
  </si>
  <si>
    <t>4-1</t>
  </si>
  <si>
    <t>4-2</t>
  </si>
  <si>
    <t>4-3</t>
  </si>
  <si>
    <t>5-1</t>
  </si>
  <si>
    <t>5-2</t>
  </si>
  <si>
    <t>5-3</t>
  </si>
  <si>
    <t>6</t>
  </si>
  <si>
    <t>계수</t>
  </si>
  <si>
    <t>지속시간</t>
  </si>
  <si>
    <t>쿨타임</t>
  </si>
  <si>
    <t>충돌</t>
  </si>
  <si>
    <t>순발력</t>
  </si>
  <si>
    <t>격파</t>
  </si>
  <si>
    <t>5</t>
  </si>
  <si>
    <t>이동</t>
  </si>
  <si>
    <t>방해</t>
  </si>
  <si>
    <t>생존</t>
  </si>
  <si>
    <t>보조</t>
  </si>
  <si>
    <t>스킬속도</t>
  </si>
  <si>
    <t>1-1 스킬쿨 세공 지혜합연산</t>
  </si>
  <si>
    <t>세공이후계수</t>
  </si>
  <si>
    <t>사이클합계</t>
  </si>
  <si>
    <t>회심의일격</t>
  </si>
  <si>
    <t>연계공격</t>
  </si>
  <si>
    <t>스러스트킥</t>
  </si>
  <si>
    <t>백스탭</t>
  </si>
  <si>
    <t>사용시간</t>
  </si>
  <si>
    <t>피증</t>
  </si>
  <si>
    <t>남는시간</t>
  </si>
  <si>
    <t>강연</t>
  </si>
  <si>
    <t>평타시간</t>
  </si>
  <si>
    <t>치명타계수</t>
  </si>
  <si>
    <t>평타횟수</t>
  </si>
  <si>
    <t>추가타계수</t>
  </si>
  <si>
    <t>계산이후스킬뎀</t>
  </si>
  <si>
    <t>계산이후회심뎀</t>
  </si>
  <si>
    <t>사이클타임</t>
  </si>
  <si>
    <t>사이클당충격파</t>
  </si>
  <si>
    <t>충격파</t>
  </si>
  <si>
    <t>평타</t>
  </si>
  <si>
    <t>dps계수</t>
  </si>
  <si>
    <t>스킬 사용 횟수 (x)</t>
  </si>
  <si>
    <t>기준 스킬 쿨타임 (y)</t>
  </si>
  <si>
    <t>기본공격횟수</t>
  </si>
  <si>
    <t>스킬 시전 시간 (z)</t>
  </si>
  <si>
    <t>사이클주기</t>
  </si>
  <si>
    <t>기본 공격 1회 시간 (g)</t>
  </si>
  <si>
    <t>회피 시간 비율</t>
  </si>
  <si>
    <t>평타 1회당 쿨감</t>
  </si>
  <si>
    <t>재사용회복값</t>
  </si>
  <si>
    <t>쿨감 기준 쿨타임</t>
  </si>
  <si>
    <t>(A) 기본 공격 횟수</t>
  </si>
  <si>
    <t>(B) 총 행동 시간</t>
  </si>
  <si>
    <t>(C) 최소 사이클 주기</t>
  </si>
  <si>
    <t>(D) 평타 적용 쿨타임</t>
  </si>
  <si>
    <t>(E) 쿨다운 주기 (스택&lt;6)</t>
  </si>
  <si>
    <t>(F) 쿨다운 주기 (스택=6)</t>
  </si>
  <si>
    <t>(G) 쿨타임 기준 주기</t>
  </si>
  <si>
    <t>(H) 최종 사이클 주기</t>
  </si>
  <si>
    <t>(I) 필요한 대기 시간</t>
  </si>
  <si>
    <t>(J) 예상 회피 시간</t>
  </si>
  <si>
    <t>(K) 최종 평균 스택</t>
  </si>
  <si>
    <t>무방비라서 없음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</si>
</sst>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-mm-dd"/>
    <numFmt numFmtId="165" formatCode="0.0000"/>
    <numFmt numFmtId="166" formatCode="0.0000%"/>
    <numFmt numFmtId="167" formatCode="#,##0.000"/>
    <numFmt numFmtId="168" formatCode="m-d"/>
    <numFmt numFmtId="169" formatCode="0.00_);[Red]\(0.00\)"/>
    <numFmt numFmtId="170" formatCode="#,##0.0000"/>
    <numFmt numFmtId="171" formatCode="0.000"/>
    <numFmt numFmtId="172" formatCode="0.00000_);[Red]\(0.00000\)"/>
  </numFmts>
  <fonts count="16">
    <font>
      <sz val="10.0"/>
      <color rgb="FF000000"/>
      <name val="Arial"/>
      <scheme val="minor"/>
    </font>
    <font>
      <color theme="1"/>
      <name val="Arial"/>
    </font>
    <font>
      <sz val="20.0"/>
      <color theme="1"/>
      <name val="Arial"/>
    </font>
    <font>
      <sz val="12.0"/>
      <color theme="1"/>
      <name val="Arial"/>
    </font>
    <font>
      <sz val="15.0"/>
      <color theme="1"/>
      <name val="Arial"/>
    </font>
    <font/>
    <font>
      <sz val="9.0"/>
      <color theme="1"/>
      <name val="Arial"/>
    </font>
    <font>
      <b/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20.0"/>
      <color theme="1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Malgun Gothic"/>
    </font>
  </fonts>
  <fills count="13">
    <fill>
      <patternFill patternType="none"/>
    </fill>
    <fill>
      <patternFill patternType="lightGray"/>
    </fill>
    <fill>
      <patternFill patternType="solid">
        <fgColor rgb="FFFFC8AA"/>
        <bgColor rgb="FFFFC8AA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horizontal="center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 vertical="center"/>
    </xf>
    <xf borderId="2" fillId="4" fontId="1" numFmtId="0" xfId="0" applyAlignment="1" applyBorder="1" applyFill="1" applyFont="1">
      <alignment vertical="bottom"/>
    </xf>
    <xf borderId="3" fillId="2" fontId="1" numFmtId="0" xfId="0" applyAlignment="1" applyBorder="1" applyFont="1">
      <alignment horizontal="right" readingOrder="0" vertical="bottom"/>
    </xf>
    <xf borderId="3" fillId="5" fontId="1" numFmtId="0" xfId="0" applyAlignment="1" applyBorder="1" applyFill="1" applyFont="1">
      <alignment vertical="bottom"/>
    </xf>
    <xf borderId="3" fillId="2" fontId="1" numFmtId="49" xfId="0" applyAlignment="1" applyBorder="1" applyFont="1" applyNumberFormat="1">
      <alignment horizontal="center" readingOrder="0" vertical="bottom"/>
    </xf>
    <xf borderId="3" fillId="4" fontId="1" numFmtId="0" xfId="0" applyAlignment="1" applyBorder="1" applyFont="1">
      <alignment vertical="bottom"/>
    </xf>
    <xf borderId="4" fillId="6" fontId="1" numFmtId="165" xfId="0" applyAlignment="1" applyBorder="1" applyFill="1" applyFont="1" applyNumberFormat="1">
      <alignment horizontal="right" vertical="bottom"/>
    </xf>
    <xf borderId="1" fillId="4" fontId="1" numFmtId="0" xfId="0" applyAlignment="1" applyBorder="1" applyFont="1">
      <alignment vertical="bottom"/>
    </xf>
    <xf borderId="1" fillId="2" fontId="1" numFmtId="0" xfId="0" applyAlignment="1" applyBorder="1" applyFont="1">
      <alignment horizontal="right" readingOrder="0" vertical="bottom"/>
    </xf>
    <xf borderId="5" fillId="4" fontId="1" numFmtId="0" xfId="0" applyAlignment="1" applyBorder="1" applyFont="1">
      <alignment horizontal="center" vertical="bottom"/>
    </xf>
    <xf borderId="5" fillId="6" fontId="1" numFmtId="49" xfId="0" applyAlignment="1" applyBorder="1" applyFont="1" applyNumberFormat="1">
      <alignment horizontal="center" vertical="bottom"/>
    </xf>
    <xf borderId="0" fillId="0" fontId="1" numFmtId="1" xfId="0" applyAlignment="1" applyFont="1" applyNumberFormat="1">
      <alignment vertical="bottom"/>
    </xf>
    <xf borderId="6" fillId="4" fontId="1" numFmtId="0" xfId="0" applyAlignment="1" applyBorder="1" applyFont="1">
      <alignment vertical="bottom"/>
    </xf>
    <xf borderId="0" fillId="2" fontId="1" numFmtId="0" xfId="0" applyAlignment="1" applyFont="1">
      <alignment horizontal="right" readingOrder="0" vertical="bottom"/>
    </xf>
    <xf borderId="0" fillId="5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7" fillId="6" fontId="1" numFmtId="2" xfId="0" applyAlignment="1" applyBorder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top"/>
    </xf>
    <xf borderId="8" fillId="4" fontId="1" numFmtId="0" xfId="0" applyAlignment="1" applyBorder="1" applyFont="1">
      <alignment horizontal="center" vertical="bottom"/>
    </xf>
    <xf borderId="8" fillId="6" fontId="1" numFmtId="49" xfId="0" applyAlignment="1" applyBorder="1" applyFont="1" applyNumberFormat="1">
      <alignment horizontal="center" vertical="bottom"/>
    </xf>
    <xf borderId="6" fillId="4" fontId="1" numFmtId="0" xfId="0" applyAlignment="1" applyBorder="1" applyFont="1">
      <alignment vertical="bottom"/>
    </xf>
    <xf borderId="7" fillId="5" fontId="1" numFmtId="0" xfId="0" applyAlignment="1" applyBorder="1" applyFont="1">
      <alignment vertical="bottom"/>
    </xf>
    <xf borderId="2" fillId="4" fontId="1" numFmtId="0" xfId="0" applyAlignment="1" applyBorder="1" applyFont="1">
      <alignment vertical="bottom"/>
    </xf>
    <xf borderId="3" fillId="2" fontId="1" numFmtId="3" xfId="0" applyAlignment="1" applyBorder="1" applyFont="1" applyNumberFormat="1">
      <alignment horizontal="right" readingOrder="0" vertical="bottom"/>
    </xf>
    <xf borderId="3" fillId="6" fontId="1" numFmtId="10" xfId="0" applyAlignment="1" applyBorder="1" applyFont="1" applyNumberFormat="1">
      <alignment horizontal="right" vertical="bottom"/>
    </xf>
    <xf borderId="5" fillId="7" fontId="1" numFmtId="3" xfId="0" applyAlignment="1" applyBorder="1" applyFill="1" applyFont="1" applyNumberFormat="1">
      <alignment horizontal="right" vertical="bottom"/>
    </xf>
    <xf borderId="9" fillId="4" fontId="1" numFmtId="0" xfId="0" applyAlignment="1" applyBorder="1" applyFont="1">
      <alignment vertical="bottom"/>
    </xf>
    <xf borderId="10" fillId="6" fontId="1" numFmtId="0" xfId="0" applyAlignment="1" applyBorder="1" applyFont="1">
      <alignment vertical="bottom"/>
    </xf>
    <xf borderId="10" fillId="6" fontId="1" numFmtId="10" xfId="0" applyAlignment="1" applyBorder="1" applyFont="1" applyNumberFormat="1">
      <alignment horizontal="right" vertical="bottom"/>
    </xf>
    <xf borderId="11" fillId="6" fontId="1" numFmtId="3" xfId="0" applyAlignment="1" applyBorder="1" applyFont="1" applyNumberFormat="1">
      <alignment horizontal="right" vertical="bottom"/>
    </xf>
    <xf borderId="0" fillId="2" fontId="1" numFmtId="0" xfId="0" applyAlignment="1" applyFont="1">
      <alignment horizontal="right" vertical="bottom"/>
    </xf>
    <xf borderId="0" fillId="4" fontId="1" numFmtId="0" xfId="0" applyAlignment="1" applyFont="1">
      <alignment vertical="bottom"/>
    </xf>
    <xf borderId="0" fillId="6" fontId="1" numFmtId="10" xfId="0" applyAlignment="1" applyFont="1" applyNumberFormat="1">
      <alignment horizontal="right" vertical="bottom"/>
    </xf>
    <xf borderId="8" fillId="6" fontId="1" numFmtId="10" xfId="0" applyAlignment="1" applyBorder="1" applyFont="1" applyNumberFormat="1">
      <alignment horizontal="right" vertical="bottom"/>
    </xf>
    <xf borderId="10" fillId="2" fontId="1" numFmtId="0" xfId="0" applyAlignment="1" applyBorder="1" applyFont="1">
      <alignment horizontal="right" readingOrder="0" vertical="bottom"/>
    </xf>
    <xf borderId="10" fillId="4" fontId="1" numFmtId="0" xfId="0" applyAlignment="1" applyBorder="1" applyFont="1">
      <alignment vertical="bottom"/>
    </xf>
    <xf borderId="10" fillId="2" fontId="1" numFmtId="0" xfId="0" applyAlignment="1" applyBorder="1" applyFont="1">
      <alignment readingOrder="0" vertical="bottom"/>
    </xf>
    <xf borderId="7" fillId="2" fontId="1" numFmtId="0" xfId="0" applyAlignment="1" applyBorder="1" applyFont="1">
      <alignment vertical="bottom"/>
    </xf>
    <xf borderId="0" fillId="0" fontId="1" numFmtId="166" xfId="0" applyAlignment="1" applyFont="1" applyNumberFormat="1">
      <alignment vertical="bottom"/>
    </xf>
    <xf borderId="3" fillId="2" fontId="1" numFmtId="0" xfId="0" applyAlignment="1" applyBorder="1" applyFont="1">
      <alignment readingOrder="0" vertical="bottom"/>
    </xf>
    <xf borderId="4" fillId="2" fontId="1" numFmtId="0" xfId="0" applyAlignment="1" applyBorder="1" applyFont="1">
      <alignment readingOrder="0" vertical="bottom"/>
    </xf>
    <xf borderId="0" fillId="2" fontId="1" numFmtId="0" xfId="0" applyAlignment="1" applyFont="1">
      <alignment readingOrder="0" vertical="bottom"/>
    </xf>
    <xf borderId="0" fillId="4" fontId="1" numFmtId="0" xfId="0" applyAlignment="1" applyFont="1">
      <alignment vertical="bottom"/>
    </xf>
    <xf borderId="7" fillId="2" fontId="1" numFmtId="0" xfId="0" applyAlignment="1" applyBorder="1" applyFont="1">
      <alignment readingOrder="0" vertical="bottom"/>
    </xf>
    <xf borderId="0" fillId="2" fontId="1" numFmtId="0" xfId="0" applyAlignment="1" applyFont="1">
      <alignment vertical="bottom"/>
    </xf>
    <xf borderId="8" fillId="4" fontId="1" numFmtId="0" xfId="0" applyAlignment="1" applyBorder="1" applyFont="1">
      <alignment horizontal="center" vertical="bottom"/>
    </xf>
    <xf borderId="3" fillId="5" fontId="1" numFmtId="0" xfId="0" applyAlignment="1" applyBorder="1" applyFont="1">
      <alignment vertical="bottom"/>
    </xf>
    <xf borderId="3" fillId="5" fontId="1" numFmtId="0" xfId="0" applyAlignment="1" applyBorder="1" applyFont="1">
      <alignment horizontal="right" vertical="bottom"/>
    </xf>
    <xf borderId="4" fillId="6" fontId="1" numFmtId="3" xfId="0" applyAlignment="1" applyBorder="1" applyFont="1" applyNumberFormat="1">
      <alignment horizontal="right" vertical="bottom"/>
    </xf>
    <xf borderId="7" fillId="6" fontId="1" numFmtId="0" xfId="0" applyAlignment="1" applyBorder="1" applyFont="1">
      <alignment horizontal="right" vertical="bottom"/>
    </xf>
    <xf borderId="0" fillId="2" fontId="1" numFmtId="1" xfId="0" applyAlignment="1" applyFont="1" applyNumberFormat="1">
      <alignment horizontal="right" readingOrder="0" vertical="bottom"/>
    </xf>
    <xf quotePrefix="1" borderId="7" fillId="6" fontId="1" numFmtId="0" xfId="0" applyAlignment="1" applyBorder="1" applyFont="1">
      <alignment horizontal="right" vertical="bottom"/>
    </xf>
    <xf borderId="7" fillId="6" fontId="1" numFmtId="10" xfId="0" applyAlignment="1" applyBorder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6" fontId="1" numFmtId="4" xfId="0" applyAlignment="1" applyFont="1" applyNumberFormat="1">
      <alignment horizontal="right" vertical="bottom"/>
    </xf>
    <xf borderId="8" fillId="6" fontId="1" numFmtId="4" xfId="0" applyAlignment="1" applyBorder="1" applyFont="1" applyNumberFormat="1">
      <alignment horizontal="right" vertical="bottom"/>
    </xf>
    <xf borderId="9" fillId="4" fontId="1" numFmtId="0" xfId="0" applyAlignment="1" applyBorder="1" applyFont="1">
      <alignment vertical="bottom"/>
    </xf>
    <xf borderId="10" fillId="5" fontId="1" numFmtId="0" xfId="0" applyAlignment="1" applyBorder="1" applyFont="1">
      <alignment vertical="bottom"/>
    </xf>
    <xf borderId="12" fillId="6" fontId="1" numFmtId="10" xfId="0" applyAlignment="1" applyBorder="1" applyFont="1" applyNumberFormat="1">
      <alignment vertical="bottom"/>
    </xf>
    <xf borderId="0" fillId="6" fontId="1" numFmtId="0" xfId="0" applyAlignment="1" applyFont="1">
      <alignment horizontal="right" vertical="bottom"/>
    </xf>
    <xf borderId="3" fillId="4" fontId="1" numFmtId="10" xfId="0" applyAlignment="1" applyBorder="1" applyFont="1" applyNumberFormat="1">
      <alignment vertical="bottom"/>
    </xf>
    <xf borderId="3" fillId="6" fontId="1" numFmtId="10" xfId="0" applyAlignment="1" applyBorder="1" applyFont="1" applyNumberFormat="1">
      <alignment horizontal="center" vertical="bottom"/>
    </xf>
    <xf borderId="13" fillId="4" fontId="1" numFmtId="0" xfId="0" applyAlignment="1" applyBorder="1" applyFont="1">
      <alignment vertical="bottom"/>
    </xf>
    <xf borderId="14" fillId="4" fontId="1" numFmtId="0" xfId="0" applyAlignment="1" applyBorder="1" applyFont="1">
      <alignment vertical="bottom"/>
    </xf>
    <xf borderId="15" fillId="4" fontId="1" numFmtId="0" xfId="0" applyAlignment="1" applyBorder="1" applyFont="1">
      <alignment vertical="bottom"/>
    </xf>
    <xf borderId="0" fillId="8" fontId="1" numFmtId="0" xfId="0" applyAlignment="1" applyFill="1" applyFont="1">
      <alignment vertical="bottom"/>
    </xf>
    <xf borderId="0" fillId="4" fontId="1" numFmtId="10" xfId="0" applyAlignment="1" applyFont="1" applyNumberFormat="1">
      <alignment vertical="bottom"/>
    </xf>
    <xf borderId="7" fillId="6" fontId="1" numFmtId="10" xfId="0" applyAlignment="1" applyBorder="1" applyFont="1" applyNumberFormat="1">
      <alignment horizontal="center" vertical="bottom"/>
    </xf>
    <xf borderId="6" fillId="6" fontId="1" numFmtId="0" xfId="0" applyAlignment="1" applyBorder="1" applyFont="1">
      <alignment vertical="bottom"/>
    </xf>
    <xf borderId="0" fillId="6" fontId="1" numFmtId="0" xfId="0" applyAlignment="1" applyFont="1">
      <alignment vertical="bottom"/>
    </xf>
    <xf borderId="7" fillId="6" fontId="1" numFmtId="0" xfId="0" applyAlignment="1" applyBorder="1" applyFont="1">
      <alignment vertical="bottom"/>
    </xf>
    <xf borderId="6" fillId="4" fontId="1" numFmtId="0" xfId="0" applyAlignment="1" applyBorder="1" applyFont="1">
      <alignment horizontal="center" vertical="bottom"/>
    </xf>
    <xf borderId="6" fillId="6" fontId="1" numFmtId="1" xfId="0" applyAlignment="1" applyBorder="1" applyFont="1" applyNumberFormat="1">
      <alignment horizontal="center" vertical="bottom"/>
    </xf>
    <xf borderId="8" fillId="6" fontId="1" numFmtId="1" xfId="0" applyAlignment="1" applyBorder="1" applyFont="1" applyNumberFormat="1">
      <alignment horizontal="center" vertical="bottom"/>
    </xf>
    <xf borderId="7" fillId="6" fontId="1" numFmtId="1" xfId="0" applyAlignment="1" applyBorder="1" applyFont="1" applyNumberFormat="1">
      <alignment horizontal="center" vertical="bottom"/>
    </xf>
    <xf borderId="0" fillId="5" fontId="1" numFmtId="0" xfId="0" applyAlignment="1" applyFont="1">
      <alignment horizontal="center"/>
    </xf>
    <xf borderId="7" fillId="0" fontId="5" numFmtId="0" xfId="0" applyBorder="1" applyFont="1"/>
    <xf borderId="8" fillId="4" fontId="6" numFmtId="0" xfId="0" applyAlignment="1" applyBorder="1" applyFont="1">
      <alignment horizontal="center" vertical="bottom"/>
    </xf>
    <xf borderId="0" fillId="6" fontId="1" numFmtId="10" xfId="0" applyAlignment="1" applyFont="1" applyNumberFormat="1">
      <alignment horizontal="center" vertical="bottom"/>
    </xf>
    <xf borderId="6" fillId="6" fontId="1" numFmtId="10" xfId="0" applyAlignment="1" applyBorder="1" applyFont="1" applyNumberFormat="1">
      <alignment horizontal="center" vertical="bottom"/>
    </xf>
    <xf borderId="8" fillId="6" fontId="1" numFmtId="10" xfId="0" applyAlignment="1" applyBorder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0" fillId="6" fontId="1" numFmtId="49" xfId="0" applyAlignment="1" applyFont="1" applyNumberFormat="1">
      <alignment horizontal="center" vertical="bottom"/>
    </xf>
    <xf borderId="10" fillId="0" fontId="5" numFmtId="0" xfId="0" applyBorder="1" applyFont="1"/>
    <xf borderId="12" fillId="0" fontId="5" numFmtId="0" xfId="0" applyBorder="1" applyFont="1"/>
    <xf borderId="0" fillId="6" fontId="1" numFmtId="0" xfId="0" applyAlignment="1" applyFont="1">
      <alignment horizontal="center" vertical="bottom"/>
    </xf>
    <xf borderId="6" fillId="6" fontId="1" numFmtId="0" xfId="0" applyAlignment="1" applyBorder="1" applyFont="1">
      <alignment horizontal="center" vertical="bottom"/>
    </xf>
    <xf borderId="8" fillId="6" fontId="1" numFmtId="0" xfId="0" applyAlignment="1" applyBorder="1" applyFont="1">
      <alignment horizontal="center" vertical="bottom"/>
    </xf>
    <xf borderId="7" fillId="6" fontId="1" numFmtId="0" xfId="0" applyAlignment="1" applyBorder="1" applyFont="1">
      <alignment horizontal="center" vertical="bottom"/>
    </xf>
    <xf borderId="2" fillId="4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horizontal="center" vertical="bottom"/>
    </xf>
    <xf borderId="4" fillId="4" fontId="1" numFmtId="0" xfId="0" applyAlignment="1" applyBorder="1" applyFont="1">
      <alignment horizontal="center" vertical="bottom"/>
    </xf>
    <xf borderId="0" fillId="8" fontId="1" numFmtId="0" xfId="0" applyAlignment="1" applyFont="1">
      <alignment vertical="bottom"/>
    </xf>
    <xf borderId="0" fillId="6" fontId="6" numFmtId="0" xfId="0" applyAlignment="1" applyFont="1">
      <alignment horizontal="center" vertical="bottom"/>
    </xf>
    <xf borderId="6" fillId="6" fontId="6" numFmtId="0" xfId="0" applyAlignment="1" applyBorder="1" applyFont="1">
      <alignment horizontal="center" vertical="bottom"/>
    </xf>
    <xf borderId="8" fillId="6" fontId="6" numFmtId="0" xfId="0" applyAlignment="1" applyBorder="1" applyFont="1">
      <alignment horizontal="center" vertical="bottom"/>
    </xf>
    <xf borderId="7" fillId="6" fontId="6" numFmtId="0" xfId="0" applyAlignment="1" applyBorder="1" applyFont="1">
      <alignment horizontal="center" vertical="bottom"/>
    </xf>
    <xf borderId="9" fillId="2" fontId="1" numFmtId="0" xfId="0" applyAlignment="1" applyBorder="1" applyFont="1">
      <alignment horizontal="center" readingOrder="0" vertical="bottom"/>
    </xf>
    <xf borderId="10" fillId="2" fontId="1" numFmtId="0" xfId="0" applyAlignment="1" applyBorder="1" applyFont="1">
      <alignment horizontal="center" readingOrder="0" vertical="bottom"/>
    </xf>
    <xf borderId="10" fillId="2" fontId="1" numFmtId="0" xfId="0" applyAlignment="1" applyBorder="1" applyFont="1">
      <alignment horizontal="center" vertical="bottom"/>
    </xf>
    <xf borderId="12" fillId="2" fontId="1" numFmtId="0" xfId="0" applyAlignment="1" applyBorder="1" applyFont="1">
      <alignment horizontal="center" vertical="bottom"/>
    </xf>
    <xf borderId="9" fillId="6" fontId="1" numFmtId="0" xfId="0" applyAlignment="1" applyBorder="1" applyFont="1">
      <alignment vertical="bottom"/>
    </xf>
    <xf borderId="12" fillId="6" fontId="1" numFmtId="0" xfId="0" applyAlignment="1" applyBorder="1" applyFont="1">
      <alignment vertical="bottom"/>
    </xf>
    <xf borderId="11" fillId="4" fontId="7" numFmtId="0" xfId="0" applyAlignment="1" applyBorder="1" applyFont="1">
      <alignment horizontal="center" vertical="bottom"/>
    </xf>
    <xf borderId="11" fillId="6" fontId="7" numFmtId="1" xfId="0" applyAlignment="1" applyBorder="1" applyFont="1" applyNumberFormat="1">
      <alignment horizontal="center" vertical="bottom"/>
    </xf>
    <xf borderId="10" fillId="6" fontId="7" numFmtId="1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readingOrder="0"/>
    </xf>
    <xf borderId="2" fillId="4" fontId="1" numFmtId="0" xfId="0" applyAlignment="1" applyBorder="1" applyFont="1">
      <alignment horizontal="center" vertical="bottom"/>
    </xf>
    <xf borderId="4" fillId="0" fontId="5" numFmtId="0" xfId="0" applyBorder="1" applyFont="1"/>
    <xf borderId="0" fillId="0" fontId="1" numFmtId="10" xfId="0" applyAlignment="1" applyFont="1" applyNumberFormat="1">
      <alignment horizontal="right" vertical="bottom"/>
    </xf>
    <xf borderId="6" fillId="4" fontId="1" numFmtId="0" xfId="0" applyAlignment="1" applyBorder="1" applyFont="1">
      <alignment horizontal="center" vertical="bottom"/>
    </xf>
    <xf borderId="7" fillId="2" fontId="1" numFmtId="49" xfId="0" applyAlignment="1" applyBorder="1" applyFont="1" applyNumberFormat="1">
      <alignment horizontal="center" readingOrder="0" vertical="bottom"/>
    </xf>
    <xf borderId="0" fillId="5" fontId="1" numFmtId="0" xfId="0" applyFont="1"/>
    <xf borderId="7" fillId="6" fontId="1" numFmtId="0" xfId="0" applyAlignment="1" applyBorder="1" applyFont="1">
      <alignment horizontal="center" vertical="bottom"/>
    </xf>
    <xf borderId="7" fillId="6" fontId="1" numFmtId="165" xfId="0" applyAlignment="1" applyBorder="1" applyFont="1" applyNumberFormat="1">
      <alignment horizontal="center" vertical="bottom"/>
    </xf>
    <xf borderId="6" fillId="4" fontId="1" numFmtId="165" xfId="0" applyAlignment="1" applyBorder="1" applyFont="1" applyNumberFormat="1">
      <alignment horizontal="center" vertical="bottom"/>
    </xf>
    <xf borderId="7" fillId="6" fontId="1" numFmtId="1" xfId="0" applyAlignment="1" applyBorder="1" applyFont="1" applyNumberFormat="1">
      <alignment horizontal="center" vertical="bottom"/>
    </xf>
    <xf borderId="6" fillId="4" fontId="1" numFmtId="1" xfId="0" applyAlignment="1" applyBorder="1" applyFont="1" applyNumberFormat="1">
      <alignment horizontal="center" vertical="bottom"/>
    </xf>
    <xf borderId="0" fillId="0" fontId="1" numFmtId="3" xfId="0" applyAlignment="1" applyFont="1" applyNumberFormat="1">
      <alignment vertical="bottom"/>
    </xf>
    <xf borderId="9" fillId="4" fontId="1" numFmtId="0" xfId="0" applyAlignment="1" applyBorder="1" applyFont="1">
      <alignment horizontal="center" vertical="bottom"/>
    </xf>
    <xf borderId="12" fillId="6" fontId="1" numFmtId="1" xfId="0" applyAlignment="1" applyBorder="1" applyFont="1" applyNumberFormat="1">
      <alignment horizontal="center" vertical="bottom"/>
    </xf>
    <xf borderId="9" fillId="4" fontId="1" numFmtId="1" xfId="0" applyAlignment="1" applyBorder="1" applyFont="1" applyNumberFormat="1">
      <alignment horizontal="center" vertical="bottom"/>
    </xf>
    <xf borderId="9" fillId="4" fontId="3" numFmtId="1" xfId="0" applyAlignment="1" applyBorder="1" applyFont="1" applyNumberFormat="1">
      <alignment horizontal="center" vertical="bottom"/>
    </xf>
    <xf borderId="12" fillId="6" fontId="3" numFmtId="1" xfId="0" applyAlignment="1" applyBorder="1" applyFont="1" applyNumberFormat="1">
      <alignment horizontal="center" vertical="bottom"/>
    </xf>
    <xf borderId="9" fillId="4" fontId="8" numFmtId="1" xfId="0" applyAlignment="1" applyBorder="1" applyFont="1" applyNumberFormat="1">
      <alignment horizontal="center" vertical="bottom"/>
    </xf>
    <xf borderId="12" fillId="6" fontId="8" numFmtId="1" xfId="0" applyAlignment="1" applyBorder="1" applyFont="1" applyNumberFormat="1">
      <alignment horizontal="center" vertical="bottom"/>
    </xf>
    <xf borderId="0" fillId="5" fontId="1" numFmtId="49" xfId="0" applyAlignment="1" applyFont="1" applyNumberFormat="1">
      <alignment vertical="bottom"/>
    </xf>
    <xf borderId="0" fillId="5" fontId="1" numFmtId="49" xfId="0" applyAlignment="1" applyFont="1" applyNumberFormat="1">
      <alignment readingOrder="0" vertical="bottom"/>
    </xf>
    <xf borderId="0" fillId="5" fontId="6" numFmtId="0" xfId="0" applyAlignment="1" applyFont="1">
      <alignment horizontal="center"/>
    </xf>
    <xf borderId="0" fillId="0" fontId="9" numFmtId="0" xfId="0" applyAlignment="1" applyFont="1">
      <alignment readingOrder="0"/>
    </xf>
    <xf borderId="1" fillId="4" fontId="1" numFmtId="9" xfId="0" applyAlignment="1" applyBorder="1" applyFont="1" applyNumberFormat="1">
      <alignment horizontal="right" vertical="bottom"/>
    </xf>
    <xf borderId="1" fillId="4" fontId="1" numFmtId="10" xfId="0" applyAlignment="1" applyBorder="1" applyFont="1" applyNumberFormat="1">
      <alignment horizontal="right" vertical="bottom"/>
    </xf>
    <xf borderId="6" fillId="4" fontId="1" numFmtId="0" xfId="0" applyAlignment="1" applyBorder="1" applyFont="1">
      <alignment readingOrder="0" vertical="bottom"/>
    </xf>
    <xf borderId="9" fillId="4" fontId="1" numFmtId="0" xfId="0" applyAlignment="1" applyBorder="1" applyFont="1">
      <alignment readingOrder="0" vertical="bottom"/>
    </xf>
    <xf borderId="12" fillId="2" fontId="1" numFmtId="0" xfId="0" applyAlignment="1" applyBorder="1" applyFont="1">
      <alignment readingOrder="0" vertical="bottom"/>
    </xf>
    <xf quotePrefix="1" borderId="2" fillId="0" fontId="10" numFmtId="0" xfId="0" applyAlignment="1" applyBorder="1" applyFont="1">
      <alignment horizontal="center" readingOrder="0" vertical="center"/>
    </xf>
    <xf borderId="3" fillId="0" fontId="5" numFmtId="0" xfId="0" applyBorder="1" applyFont="1"/>
    <xf borderId="6" fillId="0" fontId="5" numFmtId="0" xfId="0" applyBorder="1" applyFont="1"/>
    <xf borderId="9" fillId="0" fontId="5" numFmtId="0" xfId="0" applyBorder="1" applyFont="1"/>
    <xf borderId="0" fillId="0" fontId="1" numFmtId="9" xfId="0" applyAlignment="1" applyFont="1" applyNumberFormat="1">
      <alignment horizontal="right" vertical="bottom"/>
    </xf>
    <xf borderId="0" fillId="0" fontId="1" numFmtId="9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2" fillId="0" fontId="9" numFmtId="0" xfId="0" applyAlignment="1" applyBorder="1" applyFont="1">
      <alignment horizontal="center"/>
    </xf>
    <xf borderId="2" fillId="9" fontId="9" numFmtId="0" xfId="0" applyAlignment="1" applyBorder="1" applyFill="1" applyFont="1">
      <alignment horizontal="center" readingOrder="0"/>
    </xf>
    <xf borderId="4" fillId="9" fontId="9" numFmtId="0" xfId="0" applyAlignment="1" applyBorder="1" applyFont="1">
      <alignment horizontal="center" readingOrder="0"/>
    </xf>
    <xf borderId="2" fillId="9" fontId="1" numFmtId="0" xfId="0" applyAlignment="1" applyBorder="1" applyFont="1">
      <alignment horizontal="center" readingOrder="0" vertical="bottom"/>
    </xf>
    <xf borderId="3" fillId="9" fontId="1" numFmtId="0" xfId="0" applyAlignment="1" applyBorder="1" applyFont="1">
      <alignment horizontal="center" readingOrder="0" vertical="bottom"/>
    </xf>
    <xf borderId="4" fillId="9" fontId="1" numFmtId="0" xfId="0" applyAlignment="1" applyBorder="1" applyFont="1">
      <alignment horizontal="center" readingOrder="0" vertical="bottom"/>
    </xf>
    <xf borderId="2" fillId="9" fontId="9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3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0" fillId="0" fontId="9" numFmtId="0" xfId="0" applyFont="1"/>
    <xf borderId="6" fillId="2" fontId="1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center" readingOrder="0" vertical="bottom"/>
    </xf>
    <xf borderId="6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9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13" fillId="9" fontId="9" numFmtId="0" xfId="0" applyAlignment="1" applyBorder="1" applyFont="1">
      <alignment horizontal="center" readingOrder="0" vertical="center"/>
    </xf>
    <xf borderId="13" fillId="2" fontId="1" numFmtId="0" xfId="0" applyAlignment="1" applyBorder="1" applyFont="1">
      <alignment vertical="bottom"/>
    </xf>
    <xf borderId="15" fillId="2" fontId="1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14" fillId="2" fontId="1" numFmtId="0" xfId="0" applyAlignment="1" applyBorder="1" applyFont="1">
      <alignment horizontal="center" readingOrder="0" vertical="bottom"/>
    </xf>
    <xf borderId="15" fillId="2" fontId="1" numFmtId="0" xfId="0" applyAlignment="1" applyBorder="1" applyFont="1">
      <alignment vertical="bottom"/>
    </xf>
    <xf borderId="13" fillId="2" fontId="1" numFmtId="0" xfId="0" applyAlignment="1" applyBorder="1" applyFont="1">
      <alignment horizontal="center" readingOrder="0" vertical="bottom"/>
    </xf>
    <xf borderId="15" fillId="2" fontId="1" numFmtId="0" xfId="0" applyAlignment="1" applyBorder="1" applyFont="1">
      <alignment horizontal="center" readingOrder="0" vertical="bottom"/>
    </xf>
    <xf borderId="14" fillId="2" fontId="1" numFmtId="0" xfId="0" applyAlignment="1" applyBorder="1" applyFont="1">
      <alignment vertical="bottom"/>
    </xf>
    <xf borderId="14" fillId="2" fontId="1" numFmtId="0" xfId="0" applyAlignment="1" applyBorder="1" applyFont="1">
      <alignment readingOrder="0" vertical="bottom"/>
    </xf>
    <xf borderId="13" fillId="2" fontId="1" numFmtId="0" xfId="0" applyAlignment="1" applyBorder="1" applyFont="1">
      <alignment readingOrder="0" vertical="bottom"/>
    </xf>
    <xf borderId="13" fillId="2" fontId="1" numFmtId="0" xfId="0" applyAlignment="1" applyBorder="1" applyFont="1">
      <alignment vertical="bottom"/>
    </xf>
    <xf borderId="4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readingOrder="0" vertical="bottom"/>
    </xf>
    <xf borderId="6" fillId="2" fontId="1" numFmtId="0" xfId="0" applyAlignment="1" applyBorder="1" applyFont="1">
      <alignment readingOrder="0" vertical="bottom"/>
    </xf>
    <xf borderId="9" fillId="2" fontId="1" numFmtId="0" xfId="0" applyAlignment="1" applyBorder="1" applyFont="1">
      <alignment horizontal="center" vertical="bottom"/>
    </xf>
    <xf borderId="12" fillId="2" fontId="1" numFmtId="0" xfId="0" applyAlignment="1" applyBorder="1" applyFont="1">
      <alignment horizontal="center" vertical="bottom"/>
    </xf>
    <xf borderId="9" fillId="2" fontId="1" numFmtId="0" xfId="0" applyAlignment="1" applyBorder="1" applyFont="1">
      <alignment readingOrder="0" vertical="bottom"/>
    </xf>
    <xf borderId="3" fillId="2" fontId="1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center" readingOrder="0" vertical="bottom"/>
    </xf>
    <xf borderId="10" fillId="2" fontId="1" numFmtId="0" xfId="0" applyAlignment="1" applyBorder="1" applyFont="1">
      <alignment vertical="bottom"/>
    </xf>
    <xf borderId="0" fillId="0" fontId="9" numFmtId="0" xfId="0" applyAlignment="1" applyFont="1">
      <alignment horizontal="center"/>
    </xf>
    <xf borderId="14" fillId="6" fontId="9" numFmtId="10" xfId="0" applyAlignment="1" applyBorder="1" applyFont="1" applyNumberFormat="1">
      <alignment horizontal="center"/>
    </xf>
    <xf borderId="15" fillId="6" fontId="9" numFmtId="10" xfId="0" applyAlignment="1" applyBorder="1" applyFont="1" applyNumberFormat="1">
      <alignment horizontal="center"/>
    </xf>
    <xf borderId="2" fillId="0" fontId="11" numFmtId="0" xfId="0" applyAlignment="1" applyBorder="1" applyFont="1">
      <alignment horizontal="center" readingOrder="0" vertical="center"/>
    </xf>
    <xf borderId="2" fillId="0" fontId="11" numFmtId="1" xfId="0" applyAlignment="1" applyBorder="1" applyFont="1" applyNumberFormat="1">
      <alignment horizontal="center" vertical="center"/>
    </xf>
    <xf borderId="0" fillId="10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9" fontId="1" numFmtId="0" xfId="0" applyAlignment="1" applyFont="1">
      <alignment horizontal="center" vertical="bottom"/>
    </xf>
    <xf borderId="0" fillId="9" fontId="1" numFmtId="0" xfId="0" applyAlignment="1" applyFont="1">
      <alignment horizontal="right" vertical="bottom"/>
    </xf>
    <xf borderId="0" fillId="9" fontId="1" numFmtId="0" xfId="0" applyAlignment="1" applyFont="1">
      <alignment vertical="bottom"/>
    </xf>
    <xf borderId="0" fillId="9" fontId="1" numFmtId="0" xfId="0" applyAlignment="1" applyFont="1">
      <alignment vertical="bottom"/>
    </xf>
    <xf borderId="0" fillId="11" fontId="1" numFmtId="0" xfId="0" applyAlignment="1" applyFill="1" applyFont="1">
      <alignment vertical="bottom"/>
    </xf>
    <xf borderId="0" fillId="12" fontId="1" numFmtId="0" xfId="0" applyAlignment="1" applyFill="1" applyFont="1">
      <alignment vertical="bottom"/>
    </xf>
    <xf borderId="0" fillId="0" fontId="1" numFmtId="4" xfId="0" applyAlignment="1" applyFont="1" applyNumberFormat="1">
      <alignment vertical="bottom"/>
    </xf>
    <xf borderId="0" fillId="10" fontId="1" numFmtId="0" xfId="0" applyAlignment="1" applyFont="1">
      <alignment readingOrder="0" vertical="bottom"/>
    </xf>
    <xf borderId="0" fillId="0" fontId="1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readingOrder="0" vertical="bottom"/>
    </xf>
    <xf borderId="0" fillId="9" fontId="1" numFmtId="4" xfId="0" applyAlignment="1" applyFont="1" applyNumberFormat="1">
      <alignment horizontal="right" vertical="bottom"/>
    </xf>
    <xf borderId="0" fillId="9" fontId="1" numFmtId="4" xfId="0" applyAlignment="1" applyFont="1" applyNumberFormat="1">
      <alignment vertical="bottom"/>
    </xf>
    <xf borderId="0" fillId="9" fontId="1" numFmtId="0" xfId="0" applyAlignment="1" applyFon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0" fillId="0" fontId="1" numFmtId="167" xfId="0" applyAlignment="1" applyFont="1" applyNumberFormat="1">
      <alignment vertical="bottom"/>
    </xf>
    <xf borderId="0" fillId="2" fontId="1" numFmtId="4" xfId="0" applyAlignment="1" applyFont="1" applyNumberFormat="1">
      <alignment horizontal="right" vertical="bottom"/>
    </xf>
    <xf borderId="0" fillId="2" fontId="1" numFmtId="4" xfId="0" applyAlignment="1" applyFont="1" applyNumberFormat="1">
      <alignment horizontal="right" readingOrder="0" vertical="bottom"/>
    </xf>
    <xf borderId="0" fillId="0" fontId="1" numFmtId="4" xfId="0" applyAlignment="1" applyFont="1" applyNumberFormat="1">
      <alignment readingOrder="0" vertical="bottom"/>
    </xf>
    <xf borderId="0" fillId="10" fontId="1" numFmtId="0" xfId="0" applyAlignment="1" applyFont="1">
      <alignment vertical="bottom"/>
    </xf>
    <xf borderId="0" fillId="6" fontId="1" numFmtId="0" xfId="0" applyAlignment="1" applyFont="1">
      <alignment readingOrder="0" vertical="bottom"/>
    </xf>
    <xf borderId="0" fillId="9" fontId="1" numFmtId="0" xfId="0" applyAlignment="1" applyFont="1">
      <alignment horizontal="center" vertical="bottom"/>
    </xf>
    <xf quotePrefix="1" borderId="0" fillId="4" fontId="1" numFmtId="0" xfId="0" applyAlignment="1" applyFont="1">
      <alignment readingOrder="0" vertical="bottom"/>
    </xf>
    <xf borderId="0" fillId="0" fontId="1" numFmtId="1" xfId="0" applyAlignment="1" applyFont="1" applyNumberFormat="1">
      <alignment horizontal="right" vertical="bottom"/>
    </xf>
    <xf borderId="0" fillId="4" fontId="1" numFmtId="0" xfId="0" applyAlignment="1" applyFont="1">
      <alignment readingOrder="0" vertical="bottom"/>
    </xf>
    <xf borderId="0" fillId="4" fontId="1" numFmtId="1" xfId="0" applyAlignment="1" applyFont="1" applyNumberFormat="1">
      <alignment vertical="bottom"/>
    </xf>
    <xf borderId="0" fillId="6" fontId="1" numFmtId="1" xfId="0" applyAlignment="1" applyFont="1" applyNumberFormat="1">
      <alignment horizontal="right" vertical="bottom"/>
    </xf>
    <xf quotePrefix="1"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0" fillId="0" fontId="1" numFmtId="49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horizontal="center" vertical="top"/>
    </xf>
    <xf borderId="2" fillId="0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9" fillId="0" fontId="1" numFmtId="0" xfId="0" applyAlignment="1" applyBorder="1" applyFont="1">
      <alignment horizontal="right" vertical="bottom"/>
    </xf>
    <xf borderId="12" fillId="0" fontId="1" numFmtId="0" xfId="0" applyAlignment="1" applyBorder="1" applyFont="1">
      <alignment horizontal="right" vertical="bottom"/>
    </xf>
    <xf borderId="9" fillId="0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8" xfId="0" applyAlignment="1" applyFont="1" applyNumberFormat="1">
      <alignment vertical="bottom"/>
    </xf>
    <xf borderId="0" fillId="0" fontId="1" numFmtId="169" xfId="0" applyAlignment="1" applyFont="1" applyNumberFormat="1">
      <alignment horizontal="right" vertical="bottom"/>
    </xf>
    <xf borderId="0" fillId="0" fontId="1" numFmtId="169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0" fillId="0" fontId="1" numFmtId="170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readingOrder="0" vertical="bottom"/>
    </xf>
    <xf borderId="0" fillId="0" fontId="1" numFmtId="170" xfId="0" applyAlignment="1" applyFont="1" applyNumberFormat="1">
      <alignment vertical="bottom"/>
    </xf>
    <xf borderId="0" fillId="0" fontId="1" numFmtId="171" xfId="0" applyAlignment="1" applyFont="1" applyNumberFormat="1">
      <alignment vertical="bottom"/>
    </xf>
    <xf borderId="0" fillId="0" fontId="9" numFmtId="165" xfId="0" applyFont="1" applyNumberFormat="1"/>
    <xf borderId="0" fillId="0" fontId="9" numFmtId="165" xfId="0" applyAlignment="1" applyFont="1" applyNumberFormat="1">
      <alignment readingOrder="0"/>
    </xf>
    <xf borderId="0" fillId="0" fontId="12" numFmtId="169" xfId="0" applyAlignment="1" applyFont="1" applyNumberFormat="1">
      <alignment horizontal="right" vertical="bottom"/>
    </xf>
    <xf borderId="0" fillId="0" fontId="12" numFmtId="169" xfId="0" applyAlignment="1" applyFont="1" applyNumberFormat="1">
      <alignment horizontal="center" vertical="bottom"/>
    </xf>
    <xf borderId="0" fillId="0" fontId="1" numFmtId="169" xfId="0" applyAlignment="1" applyFont="1" applyNumberFormat="1">
      <alignment readingOrder="0" vertical="bottom"/>
    </xf>
    <xf borderId="0" fillId="0" fontId="1" numFmtId="169" xfId="0" applyAlignment="1" applyFont="1" applyNumberFormat="1">
      <alignment horizontal="center" vertical="bottom"/>
    </xf>
    <xf borderId="0" fillId="0" fontId="12" numFmtId="169" xfId="0" applyAlignment="1" applyFont="1" applyNumberFormat="1">
      <alignment horizontal="right" readingOrder="0" vertical="bottom"/>
    </xf>
    <xf borderId="0" fillId="0" fontId="13" numFmtId="169" xfId="0" applyFont="1" applyNumberFormat="1"/>
    <xf borderId="0" fillId="0" fontId="13" numFmtId="0" xfId="0" applyFont="1"/>
    <xf borderId="0" fillId="0" fontId="13" numFmtId="49" xfId="0" applyFont="1" applyNumberFormat="1"/>
    <xf borderId="0" fillId="0" fontId="1" numFmtId="172" xfId="0" applyAlignment="1" applyFont="1" applyNumberFormat="1">
      <alignment vertical="bottom"/>
    </xf>
    <xf borderId="0" fillId="0" fontId="13" numFmtId="169" xfId="0" applyAlignment="1" applyFont="1" applyNumberFormat="1">
      <alignment horizontal="right"/>
    </xf>
    <xf borderId="0" fillId="0" fontId="14" numFmtId="169" xfId="0" applyFont="1" applyNumberFormat="1"/>
    <xf borderId="0" fillId="0" fontId="14" numFmtId="0" xfId="0" applyFont="1"/>
    <xf borderId="0" fillId="0" fontId="9" numFmtId="168" xfId="0" applyAlignment="1" applyFont="1" applyNumberFormat="1">
      <alignment readingOrder="0"/>
    </xf>
    <xf borderId="0" fillId="0" fontId="14" numFmtId="49" xfId="0" applyFont="1" applyNumberFormat="1"/>
    <xf borderId="0" fillId="0" fontId="15" numFmtId="169" xfId="0" applyAlignment="1" applyFont="1" applyNumberFormat="1">
      <alignment horizontal="right"/>
    </xf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28575</xdr:colOff>
      <xdr:row>2</xdr:row>
      <xdr:rowOff>9525</xdr:rowOff>
    </xdr:from>
    <xdr:ext cx="1209675" cy="409575"/>
    <xdr:sp>
      <xdr:nvSpPr>
        <xdr:cNvPr id="3" name="Shape 3"/>
        <xdr:cNvSpPr/>
      </xdr:nvSpPr>
      <xdr:spPr>
        <a:xfrm>
          <a:off x="50025" y="200150"/>
          <a:ext cx="1581000" cy="5205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셋팅1&gt; 현재셋팅</a:t>
          </a:r>
          <a:endParaRPr sz="1400"/>
        </a:p>
      </xdr:txBody>
    </xdr:sp>
    <xdr:clientData fLocksWithSheet="0"/>
  </xdr:oneCellAnchor>
  <xdr:oneCellAnchor>
    <xdr:from>
      <xdr:col>17</xdr:col>
      <xdr:colOff>28575</xdr:colOff>
      <xdr:row>4</xdr:row>
      <xdr:rowOff>200025</xdr:rowOff>
    </xdr:from>
    <xdr:ext cx="1209675" cy="409575"/>
    <xdr:sp>
      <xdr:nvSpPr>
        <xdr:cNvPr id="4" name="Shape 4"/>
        <xdr:cNvSpPr/>
      </xdr:nvSpPr>
      <xdr:spPr>
        <a:xfrm>
          <a:off x="50025" y="882925"/>
          <a:ext cx="1581000" cy="5205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셋팅2&gt; 현재셋팅</a:t>
          </a:r>
          <a:endParaRPr sz="1400"/>
        </a:p>
      </xdr:txBody>
    </xdr:sp>
    <xdr:clientData fLocksWithSheet="0"/>
  </xdr:oneCellAnchor>
  <xdr:oneCellAnchor>
    <xdr:from>
      <xdr:col>17</xdr:col>
      <xdr:colOff>28575</xdr:colOff>
      <xdr:row>7</xdr:row>
      <xdr:rowOff>190500</xdr:rowOff>
    </xdr:from>
    <xdr:ext cx="1209675" cy="409575"/>
    <xdr:sp>
      <xdr:nvSpPr>
        <xdr:cNvPr id="5" name="Shape 5"/>
        <xdr:cNvSpPr/>
      </xdr:nvSpPr>
      <xdr:spPr>
        <a:xfrm>
          <a:off x="50025" y="882925"/>
          <a:ext cx="1581000" cy="5205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셋팅3&gt; 현재셋팅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 ht="15.75" customHeight="1">
      <c r="A1" s="1"/>
      <c r="B1" s="2" t="s">
        <v>0</v>
      </c>
      <c r="F1" s="1"/>
      <c r="H1" s="3" t="s">
        <v>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F2" s="4">
        <v>46115.0</v>
      </c>
      <c r="G2" s="5" t="s">
        <v>2</v>
      </c>
      <c r="L2" s="1"/>
      <c r="M2" s="1"/>
      <c r="N2" s="6" t="s">
        <v>3</v>
      </c>
      <c r="O2" s="7" t="s">
        <v>4</v>
      </c>
      <c r="P2" s="7" t="s">
        <v>5</v>
      </c>
      <c r="Q2" s="7" t="s">
        <v>6</v>
      </c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8" t="s">
        <v>7</v>
      </c>
      <c r="B3" s="9" t="s">
        <v>8</v>
      </c>
      <c r="C3" s="10">
        <v>120.0</v>
      </c>
      <c r="D3" s="11" t="s">
        <v>9</v>
      </c>
      <c r="E3" s="12" t="s">
        <v>10</v>
      </c>
      <c r="F3" s="13" t="s">
        <v>11</v>
      </c>
      <c r="G3" s="14">
        <f>LET(x, IFS(OR(E3="글라스기브넨", E3="화이트서큐버스"), 6410,E3="허수아비", 30, E3="함선 허수아비", 30, E3="어비스 지옥2", 9153, E3="바리어비스", 15903), 1/(1+x/10328))</f>
        <v>0.997103688</v>
      </c>
      <c r="H3" s="15" t="s">
        <v>12</v>
      </c>
      <c r="I3" s="16">
        <v>5.0</v>
      </c>
      <c r="J3" s="1"/>
      <c r="K3" s="1"/>
      <c r="L3" s="1"/>
      <c r="M3" s="17" t="str">
        <f t="shared" ref="M3:N3" si="1">B11</f>
        <v>무기</v>
      </c>
      <c r="N3" s="18" t="str">
        <f t="shared" si="1"/>
        <v>망각+</v>
      </c>
      <c r="O3" s="18"/>
      <c r="P3" s="18"/>
      <c r="Q3" s="18"/>
      <c r="R3" s="19"/>
      <c r="S3" s="19"/>
      <c r="T3" s="19"/>
      <c r="U3" s="19"/>
      <c r="V3" s="19"/>
      <c r="W3" s="19"/>
      <c r="X3" s="19"/>
      <c r="Y3" s="1"/>
      <c r="Z3" s="1"/>
      <c r="AA3" s="1"/>
    </row>
    <row r="4" ht="15.75" customHeight="1">
      <c r="B4" s="20" t="s">
        <v>13</v>
      </c>
      <c r="C4" s="21">
        <v>0.0</v>
      </c>
      <c r="D4" s="22" t="s">
        <v>9</v>
      </c>
      <c r="E4" s="22" t="s">
        <v>14</v>
      </c>
      <c r="F4" s="23"/>
      <c r="G4" s="24">
        <f>C4/C3</f>
        <v>0</v>
      </c>
      <c r="H4" s="25"/>
      <c r="I4" s="25" t="s">
        <v>15</v>
      </c>
      <c r="J4" s="25" t="s">
        <v>16</v>
      </c>
      <c r="K4" s="25" t="s">
        <v>17</v>
      </c>
      <c r="L4" s="26"/>
      <c r="M4" s="27" t="str">
        <f t="shared" ref="M4:N4" si="2">B12</f>
        <v>장신구1</v>
      </c>
      <c r="N4" s="28" t="str">
        <f t="shared" si="2"/>
        <v>약점</v>
      </c>
      <c r="O4" s="28"/>
      <c r="P4" s="28"/>
      <c r="Q4" s="28"/>
      <c r="R4" s="19"/>
      <c r="S4" s="19"/>
      <c r="T4" s="19"/>
      <c r="U4" s="19"/>
      <c r="V4" s="19"/>
      <c r="W4" s="19"/>
      <c r="X4" s="19"/>
      <c r="Y4" s="1"/>
      <c r="Z4" s="1"/>
      <c r="AA4" s="1"/>
    </row>
    <row r="5" ht="15.75" customHeight="1">
      <c r="B5" s="29" t="s">
        <v>18</v>
      </c>
      <c r="C5" s="21">
        <v>2.0</v>
      </c>
      <c r="D5" s="23" t="str">
        <f>TEXT(((C3-40)/100*K24)*K39+C3*'펫'!E3*K24, "0.00") &amp; " 번 예상(+궁비궁)"</f>
        <v>0.60 번 예상(+궁비궁)</v>
      </c>
      <c r="E5" s="23"/>
      <c r="F5" s="23" t="s">
        <v>19</v>
      </c>
      <c r="G5" s="30"/>
      <c r="H5" s="31" t="s">
        <v>20</v>
      </c>
      <c r="I5" s="32">
        <v>27166.0</v>
      </c>
      <c r="J5" s="33">
        <f>SUMIF('무기룬'!B:B, TRUE, OFFSET('무기룬'!$A:$A, 0, ROW()-2)) + SUMIF('방어구룬'!B:B, TRUE, OFFSET('방어구룬'!$A:$A, 0, ROW()-2)) + SUMIF('엠블럼룬'!B:B, TRUE, OFFSET('엠블럼룬'!$A:$A, 0, ROW()-2))+C10/100</f>
        <v>0.418</v>
      </c>
      <c r="K5" s="34">
        <f>I5*(1+J5)</f>
        <v>38521.388</v>
      </c>
      <c r="L5" s="26"/>
      <c r="M5" s="27" t="str">
        <f t="shared" ref="M5:N5" si="3">B13</f>
        <v>장신구2</v>
      </c>
      <c r="N5" s="28" t="str">
        <f t="shared" si="3"/>
        <v>전진</v>
      </c>
      <c r="O5" s="28"/>
      <c r="P5" s="28"/>
      <c r="Q5" s="28"/>
      <c r="R5" s="19"/>
      <c r="S5" s="19"/>
      <c r="T5" s="19"/>
      <c r="U5" s="19"/>
      <c r="V5" s="19"/>
      <c r="W5" s="19"/>
      <c r="X5" s="19"/>
      <c r="Y5" s="1"/>
      <c r="Z5" s="1"/>
      <c r="AA5" s="1"/>
    </row>
    <row r="6" ht="15.75" customHeight="1">
      <c r="B6" s="29" t="s">
        <v>21</v>
      </c>
      <c r="C6" s="21">
        <v>0.0</v>
      </c>
      <c r="D6" s="23" t="s">
        <v>9</v>
      </c>
      <c r="E6" s="23" t="s">
        <v>22</v>
      </c>
      <c r="F6" s="23"/>
      <c r="G6" s="30"/>
      <c r="H6" s="35" t="s">
        <v>23</v>
      </c>
      <c r="I6" s="36"/>
      <c r="J6" s="37">
        <f>SUMIF('무기룬'!B:B, TRUE, OFFSET('무기룬'!$A:$A, 0, ROW()-2)) + SUMIF('방어구룬'!B:B, TRUE, OFFSET('방어구룬'!$A:$A, 0, ROW()-2)) + SUMIF('엠블럼룬'!B:B, TRUE, OFFSET('엠블럼룬'!$A:$A, 0, ROW()-2))+IF(COUNTIF(C12:C14, "비생고(임시)") &gt; 0, 0.25, 0)</f>
        <v>0.3416666667</v>
      </c>
      <c r="K6" s="38">
        <f>I5*(1+J5+J6)</f>
        <v>47803.10467</v>
      </c>
      <c r="L6" s="26"/>
      <c r="M6" s="27" t="str">
        <f t="shared" ref="M6:N6" si="4">B14</f>
        <v>장신구3</v>
      </c>
      <c r="N6" s="28" t="str">
        <f t="shared" si="4"/>
        <v>강격</v>
      </c>
      <c r="O6" s="28"/>
      <c r="P6" s="28"/>
      <c r="Q6" s="28"/>
      <c r="R6" s="19"/>
      <c r="S6" s="19"/>
      <c r="T6" s="19"/>
      <c r="U6" s="19"/>
      <c r="V6" s="19"/>
      <c r="W6" s="19"/>
      <c r="X6" s="19"/>
      <c r="Y6" s="1"/>
      <c r="Z6" s="1"/>
      <c r="AA6" s="1"/>
    </row>
    <row r="7" ht="15.75" customHeight="1">
      <c r="B7" s="29" t="s">
        <v>24</v>
      </c>
      <c r="C7" s="39">
        <v>0.0</v>
      </c>
      <c r="D7" s="23" t="s">
        <v>25</v>
      </c>
      <c r="E7" s="23" t="s">
        <v>26</v>
      </c>
      <c r="F7" s="23"/>
      <c r="G7" s="30"/>
      <c r="H7" s="40" t="s">
        <v>27</v>
      </c>
      <c r="I7" s="41">
        <f>G28+C7/100</f>
        <v>0</v>
      </c>
      <c r="J7" s="41">
        <f>SUMIF('무기룬'!B:B, TRUE, OFFSET('무기룬'!$A:$A, 0, ROW()-2)) + SUMIF('방어구룬'!B:B, TRUE, OFFSET('방어구룬'!$A:$A, 0, ROW()-2)) + SUMIF('엠블럼룬'!B:B, TRUE, OFFSET('엠블럼룬'!$A:$A, 0, ROW()-2))</f>
        <v>0.07</v>
      </c>
      <c r="K7" s="42">
        <f t="shared" ref="K7:K8" si="6">I7+J7</f>
        <v>0.07</v>
      </c>
      <c r="L7" s="1"/>
      <c r="M7" s="27" t="str">
        <f t="shared" ref="M7:N7" si="5">B15</f>
        <v>엠블럼</v>
      </c>
      <c r="N7" s="28" t="str">
        <f t="shared" si="5"/>
        <v>아득한 빛</v>
      </c>
      <c r="O7" s="28"/>
      <c r="P7" s="28"/>
      <c r="Q7" s="28"/>
      <c r="R7" s="19"/>
      <c r="S7" s="19"/>
      <c r="T7" s="19"/>
      <c r="U7" s="19"/>
      <c r="V7" s="19"/>
      <c r="W7" s="19"/>
      <c r="X7" s="19"/>
      <c r="Y7" s="1"/>
      <c r="Z7" s="1"/>
      <c r="AA7" s="1"/>
    </row>
    <row r="8" ht="15.75" customHeight="1">
      <c r="B8" s="29" t="s">
        <v>28</v>
      </c>
      <c r="C8" s="39">
        <v>0.0</v>
      </c>
      <c r="D8" s="23" t="s">
        <v>25</v>
      </c>
      <c r="E8" s="23" t="s">
        <v>29</v>
      </c>
      <c r="F8" s="23"/>
      <c r="G8" s="30"/>
      <c r="H8" s="40" t="s">
        <v>30</v>
      </c>
      <c r="I8" s="41">
        <f>C9/100</f>
        <v>0.1</v>
      </c>
      <c r="J8" s="41">
        <f>SUMIF('무기룬'!B:B, TRUE, OFFSET('무기룬'!$A:$A, 0, ROW()-2)) + SUMIF('방어구룬'!B:B, TRUE, OFFSET('방어구룬'!$A:$A, 0, ROW()-2)) + SUMIF('엠블럼룬'!B:B, TRUE, OFFSET('엠블럼룬'!$A:$A, 0, ROW()-2))</f>
        <v>0</v>
      </c>
      <c r="K8" s="42">
        <f t="shared" si="6"/>
        <v>0.1</v>
      </c>
      <c r="L8" s="1"/>
      <c r="M8" s="27" t="str">
        <f t="shared" ref="M8:N8" si="7">E11</f>
        <v>방어구1</v>
      </c>
      <c r="N8" s="28" t="str">
        <f t="shared" si="7"/>
        <v>압도적인 힘</v>
      </c>
      <c r="O8" s="28"/>
      <c r="P8" s="28"/>
      <c r="Q8" s="28"/>
      <c r="R8" s="19"/>
      <c r="S8" s="19"/>
      <c r="T8" s="19"/>
      <c r="U8" s="19"/>
      <c r="V8" s="19"/>
      <c r="W8" s="19"/>
      <c r="X8" s="19"/>
      <c r="Y8" s="1"/>
      <c r="Z8" s="1"/>
      <c r="AA8" s="1"/>
    </row>
    <row r="9" ht="15.75" customHeight="1">
      <c r="B9" s="29" t="s">
        <v>31</v>
      </c>
      <c r="C9" s="39">
        <v>10.0</v>
      </c>
      <c r="D9" s="23" t="s">
        <v>25</v>
      </c>
      <c r="E9" s="22" t="s">
        <v>32</v>
      </c>
      <c r="F9" s="23"/>
      <c r="G9" s="30"/>
      <c r="H9" s="40" t="s">
        <v>33</v>
      </c>
      <c r="I9" s="41">
        <f>C18/8500</f>
        <v>0.2925882353</v>
      </c>
      <c r="J9" s="41">
        <f>SUMIF('무기룬'!B:B, TRUE, OFFSET('무기룬'!$A:$A, 0, ROW()-2)) + SUMIF('방어구룬'!B:B, TRUE, OFFSET('방어구룬'!$A:$A, 0, ROW()-2)) + SUMIF('엠블럼룬'!B:B, TRUE, OFFSET('엠블럼룬'!$A:$A, 0, ROW()-2))+'펫'!H3</f>
        <v>0.08</v>
      </c>
      <c r="K9" s="42">
        <f t="shared" ref="K9:K10" si="9">I9*(1+J9)+J9</f>
        <v>0.3959952941</v>
      </c>
      <c r="L9" s="1"/>
      <c r="M9" s="27" t="str">
        <f t="shared" ref="M9:N9" si="8">E12</f>
        <v>방어구2</v>
      </c>
      <c r="N9" s="28" t="str">
        <f t="shared" si="8"/>
        <v>섬세한 손놀림</v>
      </c>
      <c r="O9" s="28"/>
      <c r="P9" s="28"/>
      <c r="Q9" s="28"/>
      <c r="R9" s="19"/>
      <c r="S9" s="19"/>
      <c r="T9" s="19"/>
      <c r="U9" s="19"/>
      <c r="V9" s="19"/>
      <c r="W9" s="19"/>
      <c r="X9" s="19"/>
      <c r="Y9" s="1"/>
      <c r="Z9" s="1"/>
      <c r="AA9" s="1"/>
    </row>
    <row r="10" ht="15.75" customHeight="1">
      <c r="B10" s="20" t="s">
        <v>34</v>
      </c>
      <c r="C10" s="43">
        <v>6.8</v>
      </c>
      <c r="D10" s="44" t="s">
        <v>35</v>
      </c>
      <c r="E10" s="45">
        <v>1.0</v>
      </c>
      <c r="F10" s="44" t="s">
        <v>36</v>
      </c>
      <c r="G10" s="46"/>
      <c r="H10" s="40" t="s">
        <v>37</v>
      </c>
      <c r="I10" s="41">
        <f>C24/8500</f>
        <v>0.3516470588</v>
      </c>
      <c r="J10" s="41">
        <f>SUMIF('무기룬'!B:B, TRUE, OFFSET('무기룬'!$A:$A, 0, ROW()-2)) + SUMIF('방어구룬'!B:B, TRUE, OFFSET('방어구룬'!$A:$A, 0, ROW()-2)) + SUMIF('엠블럼룬'!B:B, TRUE, OFFSET('엠블럼룬'!$A:$A, 0, ROW()-2))</f>
        <v>0.206</v>
      </c>
      <c r="K10" s="42">
        <f t="shared" si="9"/>
        <v>0.6300863529</v>
      </c>
      <c r="L10" s="47"/>
      <c r="M10" s="27" t="str">
        <f t="shared" ref="M10:N10" si="10">E13</f>
        <v>방어구3</v>
      </c>
      <c r="N10" s="28" t="str">
        <f t="shared" si="10"/>
        <v>일렁이는 불꽃</v>
      </c>
      <c r="O10" s="28"/>
      <c r="P10" s="28"/>
      <c r="Q10" s="28"/>
      <c r="R10" s="19"/>
      <c r="S10" s="19"/>
      <c r="T10" s="19"/>
      <c r="U10" s="19"/>
      <c r="V10" s="19"/>
      <c r="W10" s="19"/>
      <c r="X10" s="19"/>
      <c r="Y10" s="1"/>
      <c r="Z10" s="1"/>
      <c r="AA10" s="1"/>
    </row>
    <row r="11" ht="15.75" customHeight="1">
      <c r="A11" s="8" t="s">
        <v>38</v>
      </c>
      <c r="B11" s="9" t="s">
        <v>39</v>
      </c>
      <c r="C11" s="48" t="s">
        <v>40</v>
      </c>
      <c r="D11" s="48" t="s">
        <v>41</v>
      </c>
      <c r="E11" s="13" t="s">
        <v>42</v>
      </c>
      <c r="F11" s="48" t="s">
        <v>43</v>
      </c>
      <c r="G11" s="49" t="s">
        <v>41</v>
      </c>
      <c r="H11" s="40" t="s">
        <v>44</v>
      </c>
      <c r="I11" s="41">
        <v>2.0</v>
      </c>
      <c r="J11" s="41">
        <f>SUMIF('무기룬'!B:B, TRUE, OFFSET('무기룬'!$A:$A, 0, ROW()-2)) + SUMIF('방어구룬'!B:B, TRUE, OFFSET('방어구룬'!$A:$A, 0, ROW()-2)) + SUMIF('엠블럼룬'!B:B, TRUE, OFFSET('엠블럼룬'!$A:$A, 0, ROW()-2))</f>
        <v>0</v>
      </c>
      <c r="K11" s="42">
        <f>I11++J11</f>
        <v>2</v>
      </c>
      <c r="L11" s="1"/>
      <c r="M11" s="27" t="str">
        <f t="shared" ref="M11:N11" si="11">E14</f>
        <v>방어구4</v>
      </c>
      <c r="N11" s="28" t="str">
        <f t="shared" si="11"/>
        <v>바스러지는 빛</v>
      </c>
      <c r="O11" s="28"/>
      <c r="P11" s="28"/>
      <c r="Q11" s="28"/>
      <c r="R11" s="19"/>
      <c r="S11" s="19"/>
      <c r="T11" s="19"/>
      <c r="U11" s="19"/>
      <c r="V11" s="19"/>
      <c r="W11" s="19"/>
      <c r="X11" s="19"/>
      <c r="Y11" s="1"/>
      <c r="Z11" s="1"/>
      <c r="AA11" s="1"/>
    </row>
    <row r="12" ht="15.75" customHeight="1">
      <c r="B12" s="29" t="s">
        <v>45</v>
      </c>
      <c r="C12" s="50" t="s">
        <v>46</v>
      </c>
      <c r="D12" s="50" t="s">
        <v>47</v>
      </c>
      <c r="E12" s="51" t="s">
        <v>48</v>
      </c>
      <c r="F12" s="50" t="s">
        <v>49</v>
      </c>
      <c r="G12" s="52" t="s">
        <v>41</v>
      </c>
      <c r="H12" s="40" t="s">
        <v>50</v>
      </c>
      <c r="I12" s="41">
        <f>1.4+(C27/5000)</f>
        <v>2.785</v>
      </c>
      <c r="J12" s="41">
        <f>SUMIF('무기룬'!B:B, TRUE, OFFSET('무기룬'!$A:$A, 0, ROW()-2)) + SUMIF('방어구룬'!B:B, TRUE, OFFSET('방어구룬'!$A:$A, 0, ROW()-2)) + SUMIF('엠블럼룬'!B:B, TRUE, OFFSET('엠블럼룬'!$A:$A, 0, ROW()-2))</f>
        <v>0.3066666667</v>
      </c>
      <c r="K12" s="42">
        <f>I12*(1+J12)</f>
        <v>3.639066667</v>
      </c>
      <c r="L12" s="1"/>
      <c r="M12" s="27" t="str">
        <f t="shared" ref="M12:N12" si="12">E15</f>
        <v>방어구5</v>
      </c>
      <c r="N12" s="28" t="str">
        <f t="shared" si="12"/>
        <v>산들바람</v>
      </c>
      <c r="O12" s="28"/>
      <c r="P12" s="28"/>
      <c r="Q12" s="28"/>
      <c r="R12" s="19" t="s">
        <v>51</v>
      </c>
      <c r="S12" s="19"/>
      <c r="T12" s="19"/>
      <c r="U12" s="19"/>
      <c r="V12" s="19"/>
      <c r="W12" s="19"/>
      <c r="X12" s="19"/>
      <c r="Y12" s="1"/>
      <c r="Z12" s="1"/>
      <c r="AA12" s="1"/>
    </row>
    <row r="13" ht="15.75" customHeight="1">
      <c r="B13" s="29" t="s">
        <v>52</v>
      </c>
      <c r="C13" s="50" t="s">
        <v>53</v>
      </c>
      <c r="D13" s="53" t="s">
        <v>47</v>
      </c>
      <c r="E13" s="51" t="s">
        <v>54</v>
      </c>
      <c r="F13" s="50" t="s">
        <v>55</v>
      </c>
      <c r="G13" s="52" t="s">
        <v>47</v>
      </c>
      <c r="H13" s="40" t="s">
        <v>56</v>
      </c>
      <c r="I13" s="41">
        <f>C19/17500</f>
        <v>0.08754285714</v>
      </c>
      <c r="J13" s="41">
        <f>SUMIF('무기룬'!B:B, TRUE, OFFSET('무기룬'!$A:$A, 0, ROW()-2)) + SUMIF('방어구룬'!B:B, TRUE, OFFSET('방어구룬'!$A:$A, 0, ROW()-2)) + SUMIF('엠블럼룬'!B:B, TRUE, OFFSET('엠블럼룬'!$A:$A, 0, ROW()-2))</f>
        <v>0</v>
      </c>
      <c r="K13" s="42">
        <f>((1+I13)*(1+J13)-1)*(K37/4)</f>
        <v>0.04698837205</v>
      </c>
      <c r="L13" s="25" t="s">
        <v>57</v>
      </c>
      <c r="M13" s="54" t="s">
        <v>58</v>
      </c>
      <c r="N13" s="28">
        <f>I5</f>
        <v>27166</v>
      </c>
      <c r="O13" s="28"/>
      <c r="P13" s="28"/>
      <c r="Q13" s="28"/>
      <c r="S13" s="19"/>
      <c r="T13" s="19"/>
      <c r="U13" s="19"/>
      <c r="V13" s="19"/>
      <c r="W13" s="19"/>
      <c r="X13" s="19"/>
      <c r="Y13" s="1"/>
      <c r="Z13" s="1"/>
      <c r="AA13" s="1"/>
    </row>
    <row r="14" ht="15.75" customHeight="1">
      <c r="B14" s="29" t="s">
        <v>59</v>
      </c>
      <c r="C14" s="50" t="s">
        <v>60</v>
      </c>
      <c r="D14" s="50" t="s">
        <v>47</v>
      </c>
      <c r="E14" s="51" t="s">
        <v>61</v>
      </c>
      <c r="F14" s="50" t="s">
        <v>62</v>
      </c>
      <c r="G14" s="52" t="s">
        <v>63</v>
      </c>
      <c r="H14" s="40" t="s">
        <v>64</v>
      </c>
      <c r="I14" s="41">
        <f>0.08+(C21/8500)</f>
        <v>0.2072941176</v>
      </c>
      <c r="J14" s="41">
        <f>SUMIF('무기룬'!B:B, TRUE, OFFSET('무기룬'!$A:$A, 0, ROW()-2)) + SUMIF('방어구룬'!B:B, TRUE, OFFSET('방어구룬'!$A:$A, 0, ROW()-2)) + SUMIF('엠블럼룬'!B:B, TRUE, OFFSET('엠블럼룬'!$A:$A, 0, ROW()-2))</f>
        <v>0</v>
      </c>
      <c r="K14" s="42">
        <f t="shared" ref="K14:K15" si="14">I14*(1+J14)+J14</f>
        <v>0.2072941176</v>
      </c>
      <c r="L14" s="25" t="s">
        <v>65</v>
      </c>
      <c r="M14" s="54" t="str">
        <f t="shared" ref="M14:N14" si="13">B17</f>
        <v>브레이크</v>
      </c>
      <c r="N14" s="28">
        <f t="shared" si="13"/>
        <v>1742</v>
      </c>
      <c r="O14" s="28"/>
      <c r="P14" s="28"/>
      <c r="Q14" s="28"/>
      <c r="R14" s="19"/>
      <c r="S14" s="19"/>
      <c r="T14" s="19"/>
      <c r="U14" s="19"/>
      <c r="V14" s="19"/>
      <c r="W14" s="19"/>
      <c r="X14" s="19"/>
      <c r="Y14" s="1"/>
      <c r="Z14" s="1"/>
      <c r="AA14" s="1"/>
    </row>
    <row r="15" ht="15.75" customHeight="1">
      <c r="B15" s="29" t="s">
        <v>66</v>
      </c>
      <c r="C15" s="50" t="s">
        <v>67</v>
      </c>
      <c r="D15" s="50" t="s">
        <v>41</v>
      </c>
      <c r="E15" s="51" t="s">
        <v>68</v>
      </c>
      <c r="F15" s="50" t="s">
        <v>69</v>
      </c>
      <c r="G15" s="52" t="s">
        <v>47</v>
      </c>
      <c r="H15" s="40" t="s">
        <v>70</v>
      </c>
      <c r="I15" s="41">
        <f>C20/8500</f>
        <v>0.1855294118</v>
      </c>
      <c r="J15" s="41">
        <f>SUMIF('무기룬'!B:B, TRUE, OFFSET('무기룬'!$A:$A, 0, ROW()-2)) + SUMIF('방어구룬'!B:B, TRUE, OFFSET('방어구룬'!$A:$A, 0, ROW()-2)) + SUMIF('엠블럼룬'!B:B, TRUE, OFFSET('엠블럼룬'!$A:$A, 0, ROW()-2))</f>
        <v>0</v>
      </c>
      <c r="K15" s="42">
        <f t="shared" si="14"/>
        <v>0.1855294118</v>
      </c>
      <c r="L15" s="1"/>
      <c r="M15" s="54" t="str">
        <f t="shared" ref="M15:N15" si="15">B18</f>
        <v>강타강화</v>
      </c>
      <c r="N15" s="28">
        <f t="shared" si="15"/>
        <v>2487</v>
      </c>
      <c r="O15" s="28"/>
      <c r="P15" s="28"/>
      <c r="Q15" s="28"/>
      <c r="R15" s="19"/>
      <c r="S15" s="19"/>
      <c r="T15" s="19"/>
      <c r="U15" s="19"/>
      <c r="V15" s="19"/>
      <c r="W15" s="19"/>
      <c r="X15" s="19"/>
      <c r="Y15" s="1"/>
      <c r="Z15" s="1"/>
      <c r="AA15" s="1"/>
    </row>
    <row r="16" ht="15.75" customHeight="1">
      <c r="A16" s="8" t="s">
        <v>71</v>
      </c>
      <c r="B16" s="9" t="s">
        <v>20</v>
      </c>
      <c r="C16" s="10">
        <v>38521.0</v>
      </c>
      <c r="D16" s="55" t="s">
        <v>72</v>
      </c>
      <c r="E16" s="11"/>
      <c r="F16" s="56" t="s">
        <v>73</v>
      </c>
      <c r="G16" s="57">
        <f>C16/(1+J5)</f>
        <v>27165.72638</v>
      </c>
      <c r="H16" s="40" t="s">
        <v>74</v>
      </c>
      <c r="I16" s="41">
        <f>C22/13000</f>
        <v>0.07592307692</v>
      </c>
      <c r="J16" s="41">
        <f>SUMIF('무기룬'!B:B, TRUE, OFFSET('무기룬'!$A:$A, 0, ROW()-2)) + SUMIF('방어구룬'!B:B, TRUE, OFFSET('방어구룬'!$A:$A, 0, ROW()-2)) + SUMIF('엠블럼룬'!B:B, TRUE, OFFSET('엠블럼룬'!$A:$A, 0, ROW()-2))</f>
        <v>0.2208333333</v>
      </c>
      <c r="K16" s="42">
        <f>(1+I16)*(1+J16)-1</f>
        <v>0.3135227564</v>
      </c>
      <c r="L16" s="1"/>
      <c r="M16" s="54" t="str">
        <f t="shared" ref="M16:N16" si="16">B19</f>
        <v>콤보강화</v>
      </c>
      <c r="N16" s="28">
        <f t="shared" si="16"/>
        <v>1532</v>
      </c>
      <c r="O16" s="28"/>
      <c r="P16" s="28"/>
      <c r="Q16" s="28"/>
      <c r="R16" s="19"/>
      <c r="S16" s="19"/>
      <c r="T16" s="19"/>
      <c r="U16" s="19"/>
      <c r="V16" s="19"/>
      <c r="W16" s="19"/>
      <c r="X16" s="19"/>
      <c r="Y16" s="1"/>
      <c r="Z16" s="1"/>
      <c r="AA16" s="1"/>
    </row>
    <row r="17" ht="15.75" customHeight="1">
      <c r="B17" s="29" t="s">
        <v>75</v>
      </c>
      <c r="C17" s="21">
        <v>1742.0</v>
      </c>
      <c r="D17" s="23" t="s">
        <v>76</v>
      </c>
      <c r="E17" s="23"/>
      <c r="F17" s="23"/>
      <c r="G17" s="58" t="s">
        <v>77</v>
      </c>
      <c r="H17" s="40" t="s">
        <v>78</v>
      </c>
      <c r="I17" s="41">
        <f>0.5*(C27/(C27+2000))+if(E3="허수아비",0.3,0)</f>
        <v>0.3879551821</v>
      </c>
      <c r="J17" s="41">
        <f>SUMIF('무기룬'!B:B, TRUE, OFFSET('무기룬'!$A:$A, 0, ROW()-2)) + SUMIF('방어구룬'!B:B, TRUE, OFFSET('방어구룬'!$A:$A, 0, ROW()-2)) + SUMIF('엠블럼룬'!B:B, TRUE, OFFSET('엠블럼룬'!$A:$A, 0, ROW()-2))</f>
        <v>0.17</v>
      </c>
      <c r="K17" s="42">
        <f>min(1,I17+J17)</f>
        <v>0.5579551821</v>
      </c>
      <c r="L17" s="1"/>
      <c r="M17" s="54" t="str">
        <f t="shared" ref="M17:N17" si="17">B20</f>
        <v>스킬위력</v>
      </c>
      <c r="N17" s="28">
        <f t="shared" si="17"/>
        <v>1577</v>
      </c>
      <c r="O17" s="28"/>
      <c r="P17" s="28"/>
      <c r="Q17" s="28"/>
      <c r="R17" s="19"/>
      <c r="S17" s="19"/>
      <c r="T17" s="19"/>
      <c r="U17" s="19"/>
      <c r="V17" s="19"/>
      <c r="W17" s="19"/>
      <c r="X17" s="19"/>
      <c r="Y17" s="1"/>
      <c r="Z17" s="1"/>
      <c r="AA17" s="1"/>
    </row>
    <row r="18" ht="15.75" customHeight="1">
      <c r="B18" s="29" t="s">
        <v>79</v>
      </c>
      <c r="C18" s="59">
        <v>2487.0</v>
      </c>
      <c r="D18" s="23" t="s">
        <v>80</v>
      </c>
      <c r="E18" s="23"/>
      <c r="F18" s="23"/>
      <c r="G18" s="58" t="s">
        <v>81</v>
      </c>
      <c r="H18" s="40" t="s">
        <v>82</v>
      </c>
      <c r="I18" s="41">
        <v>0.0</v>
      </c>
      <c r="J18" s="41">
        <f>SUMIF('무기룬'!B:B, TRUE, OFFSET('무기룬'!$A:$A, 0, ROW()-2)) + SUMIF('방어구룬'!B:B, TRUE, OFFSET('방어구룬'!$A:$A, 0, ROW()-2)) + SUMIF('엠블럼룬'!B:B, TRUE, OFFSET('엠블럼룬'!$A:$A, 0, ROW()-2))</f>
        <v>0</v>
      </c>
      <c r="K18" s="42">
        <f>I18+J18</f>
        <v>0</v>
      </c>
      <c r="L18" s="1"/>
      <c r="M18" s="54" t="str">
        <f t="shared" ref="M18:N18" si="18">B21</f>
        <v>광역강화</v>
      </c>
      <c r="N18" s="28">
        <f t="shared" si="18"/>
        <v>1082</v>
      </c>
      <c r="O18" s="28"/>
      <c r="P18" s="28"/>
      <c r="Q18" s="28"/>
      <c r="R18" s="19"/>
      <c r="S18" s="19"/>
      <c r="T18" s="19"/>
      <c r="U18" s="19"/>
      <c r="V18" s="19"/>
      <c r="W18" s="19"/>
      <c r="X18" s="19"/>
      <c r="Y18" s="1"/>
      <c r="Z18" s="1"/>
      <c r="AA18" s="1"/>
    </row>
    <row r="19" ht="15.75" customHeight="1">
      <c r="B19" s="29" t="s">
        <v>83</v>
      </c>
      <c r="C19" s="21">
        <v>1532.0</v>
      </c>
      <c r="D19" s="22" t="s">
        <v>84</v>
      </c>
      <c r="E19" s="23"/>
      <c r="F19" s="23"/>
      <c r="G19" s="58" t="s">
        <v>85</v>
      </c>
      <c r="H19" s="40" t="s">
        <v>86</v>
      </c>
      <c r="I19" s="41">
        <f>C17/5250</f>
        <v>0.3318095238</v>
      </c>
      <c r="J19" s="41">
        <f>SUMIF('무기룬'!B:B, TRUE, OFFSET('무기룬'!$A:$A, 0, ROW()-2)) + SUMIF('방어구룬'!B:B, TRUE, OFFSET('방어구룬'!$A:$A, 0, ROW()-2)) + SUMIF('엠블럼룬'!B:B, TRUE, OFFSET('엠블럼룬'!$A:$A, 0, ROW()-2))+'펫'!F3</f>
        <v>0</v>
      </c>
      <c r="K19" s="42">
        <f>(1+J19)*(1+I19)+0.4-1</f>
        <v>0.7318095238</v>
      </c>
      <c r="L19" s="1"/>
      <c r="M19" s="54" t="str">
        <f t="shared" ref="M19:N19" si="19">B22</f>
        <v>추가타</v>
      </c>
      <c r="N19" s="28">
        <f t="shared" si="19"/>
        <v>987</v>
      </c>
      <c r="O19" s="28"/>
      <c r="P19" s="28"/>
      <c r="Q19" s="28"/>
      <c r="R19" s="19"/>
      <c r="S19" s="19"/>
      <c r="T19" s="19"/>
      <c r="U19" s="19"/>
      <c r="V19" s="19"/>
      <c r="W19" s="19"/>
      <c r="X19" s="19"/>
      <c r="Y19" s="1"/>
      <c r="Z19" s="1"/>
      <c r="AA19" s="1"/>
    </row>
    <row r="20" ht="15.75" customHeight="1">
      <c r="B20" s="29" t="s">
        <v>87</v>
      </c>
      <c r="C20" s="21">
        <v>1577.0</v>
      </c>
      <c r="D20" s="22" t="s">
        <v>88</v>
      </c>
      <c r="E20" s="23"/>
      <c r="F20" s="23"/>
      <c r="G20" s="58" t="s">
        <v>89</v>
      </c>
      <c r="H20" s="40" t="s">
        <v>90</v>
      </c>
      <c r="I20" s="41">
        <v>0.0</v>
      </c>
      <c r="J20" s="41">
        <f>SUMIF('무기룬'!B:B, TRUE, OFFSET('무기룬'!$A:$A, 0, ROW()-2)) + SUMIF('방어구룬'!B:B, TRUE, OFFSET('방어구룬'!$A:$A, 0, ROW()-2)) + SUMIF('엠블럼룬'!B:B, TRUE, OFFSET('엠블럼룬'!$A:$A, 0, ROW()-2))</f>
        <v>0</v>
      </c>
      <c r="K20" s="42">
        <f t="shared" ref="K20:K23" si="21">I20+J20</f>
        <v>0</v>
      </c>
      <c r="L20" s="1"/>
      <c r="M20" s="54" t="str">
        <f t="shared" ref="M20:N20" si="20">B23</f>
        <v>빠른공격</v>
      </c>
      <c r="N20" s="28">
        <f t="shared" si="20"/>
        <v>1484</v>
      </c>
      <c r="O20" s="28"/>
      <c r="P20" s="28"/>
      <c r="Q20" s="28"/>
      <c r="R20" s="19"/>
      <c r="S20" s="19"/>
      <c r="T20" s="19"/>
      <c r="U20" s="19"/>
      <c r="V20" s="19"/>
      <c r="W20" s="19"/>
      <c r="X20" s="19"/>
      <c r="Y20" s="1"/>
      <c r="Z20" s="1"/>
      <c r="AA20" s="1"/>
    </row>
    <row r="21" ht="15.75" customHeight="1">
      <c r="B21" s="29" t="s">
        <v>91</v>
      </c>
      <c r="C21" s="21">
        <v>1082.0</v>
      </c>
      <c r="D21" s="22" t="s">
        <v>92</v>
      </c>
      <c r="E21" s="23"/>
      <c r="F21" s="23"/>
      <c r="G21" s="60" t="s">
        <v>93</v>
      </c>
      <c r="H21" s="40" t="s">
        <v>94</v>
      </c>
      <c r="I21" s="41">
        <f>C25*'스킬 및 딜사이클'!A27</f>
        <v>0.10416</v>
      </c>
      <c r="J21" s="41">
        <f>SUMIF('무기룬'!B:B, TRUE, OFFSET('무기룬'!$A:$A, 0, ROW()-2)) + SUMIF('방어구룬'!B:B, TRUE, OFFSET('방어구룬'!$A:$A, 0, ROW()-2)) + SUMIF('엠블럼룬'!B:B, TRUE, OFFSET('엠블럼룬'!$A:$A, 0, ROW()-2))+'펫'!G3</f>
        <v>0</v>
      </c>
      <c r="K21" s="42">
        <f t="shared" si="21"/>
        <v>0.10416</v>
      </c>
      <c r="L21" s="1"/>
      <c r="M21" s="54" t="str">
        <f t="shared" ref="M21:N21" si="22">B24</f>
        <v>연타강화</v>
      </c>
      <c r="N21" s="28">
        <f t="shared" si="22"/>
        <v>2989</v>
      </c>
      <c r="O21" s="28"/>
      <c r="P21" s="28"/>
      <c r="Q21" s="28"/>
      <c r="R21" s="19"/>
      <c r="S21" s="19"/>
      <c r="T21" s="19"/>
      <c r="U21" s="19"/>
      <c r="V21" s="19"/>
      <c r="W21" s="19"/>
      <c r="X21" s="19"/>
      <c r="Y21" s="1"/>
      <c r="Z21" s="1"/>
      <c r="AA21" s="1"/>
    </row>
    <row r="22" ht="15.75" customHeight="1">
      <c r="B22" s="29" t="s">
        <v>95</v>
      </c>
      <c r="C22" s="21">
        <v>987.0</v>
      </c>
      <c r="D22" s="23" t="s">
        <v>96</v>
      </c>
      <c r="E22" s="23"/>
      <c r="F22" s="22"/>
      <c r="G22" s="61"/>
      <c r="H22" s="40" t="s">
        <v>97</v>
      </c>
      <c r="I22" s="41">
        <f>C23*0.00007</f>
        <v>0.10388</v>
      </c>
      <c r="J22" s="41">
        <f>SUMIF('무기룬'!B:B, TRUE, OFFSET('무기룬'!$A:$A, 0, ROW()-2)) + SUMIF('방어구룬'!B:B, TRUE, OFFSET('방어구룬'!$A:$A, 0, ROW()-2)) + SUMIF('엠블럼룬'!B:B, TRUE, OFFSET('엠블럼룬'!$A:$A, 0, ROW()-2))+'펫'!G3</f>
        <v>0</v>
      </c>
      <c r="K22" s="42">
        <f t="shared" si="21"/>
        <v>0.10388</v>
      </c>
      <c r="L22" s="1"/>
      <c r="M22" s="54" t="str">
        <f t="shared" ref="M22:N22" si="23">B25</f>
        <v>빠른스킬</v>
      </c>
      <c r="N22" s="28">
        <f t="shared" si="23"/>
        <v>1488</v>
      </c>
      <c r="O22" s="28"/>
      <c r="P22" s="28"/>
      <c r="Q22" s="28"/>
      <c r="R22" s="19"/>
      <c r="S22" s="19"/>
      <c r="T22" s="19"/>
      <c r="U22" s="19"/>
      <c r="V22" s="19"/>
      <c r="W22" s="19"/>
      <c r="X22" s="19"/>
      <c r="Y22" s="1"/>
      <c r="Z22" s="1"/>
      <c r="AA22" s="1"/>
    </row>
    <row r="23" ht="15.75" customHeight="1">
      <c r="B23" s="29" t="s">
        <v>98</v>
      </c>
      <c r="C23" s="21">
        <v>1484.0</v>
      </c>
      <c r="D23" s="22" t="s">
        <v>99</v>
      </c>
      <c r="E23" s="23"/>
      <c r="F23" s="23"/>
      <c r="G23" s="61"/>
      <c r="H23" s="40" t="s">
        <v>100</v>
      </c>
      <c r="I23" s="41">
        <v>0.0</v>
      </c>
      <c r="J23" s="41">
        <f>SUMIF('무기룬'!B:B, TRUE, OFFSET('무기룬'!$A:$A, 0, ROW()-2)) + SUMIF('방어구룬'!B:B, TRUE, OFFSET('방어구룬'!$A:$A, 0, ROW()-2)) + SUMIF('엠블럼룬'!B:B, TRUE, OFFSET('엠블럼룬'!$A:$A, 0, ROW()-2))</f>
        <v>0</v>
      </c>
      <c r="K23" s="42">
        <f t="shared" si="21"/>
        <v>0</v>
      </c>
      <c r="L23" s="1"/>
      <c r="M23" s="54" t="str">
        <f t="shared" ref="M23:N23" si="24">B27</f>
        <v>치명타</v>
      </c>
      <c r="N23" s="28">
        <f t="shared" si="24"/>
        <v>6925</v>
      </c>
      <c r="O23" s="28"/>
      <c r="P23" s="28"/>
      <c r="Q23" s="28"/>
      <c r="R23" s="19"/>
      <c r="S23" s="19"/>
      <c r="T23" s="19"/>
      <c r="U23" s="19"/>
      <c r="V23" s="19"/>
      <c r="W23" s="19"/>
      <c r="X23" s="19"/>
      <c r="Y23" s="1"/>
      <c r="Z23" s="1"/>
      <c r="AA23" s="1"/>
    </row>
    <row r="24" ht="15.75" customHeight="1">
      <c r="B24" s="29" t="s">
        <v>101</v>
      </c>
      <c r="C24" s="21">
        <v>2989.0</v>
      </c>
      <c r="D24" s="23" t="s">
        <v>102</v>
      </c>
      <c r="E24" s="23"/>
      <c r="F24" s="23"/>
      <c r="G24" s="61"/>
      <c r="H24" s="40" t="s">
        <v>103</v>
      </c>
      <c r="I24" s="41">
        <f>C26/7250+1</f>
        <v>1.247172414</v>
      </c>
      <c r="J24" s="41">
        <f>SUMIF('무기룬'!B:B, TRUE, OFFSET('무기룬'!$A:$A, 0, ROW()-2)) + SUMIF('방어구룬'!B:B, TRUE, OFFSET('방어구룬'!$A:$A, 0, ROW()-2)) + SUMIF('엠블럼룬'!B:B, TRUE, OFFSET('엠블럼룬'!$A:$A, 0, ROW()-2))</f>
        <v>0</v>
      </c>
      <c r="K24" s="42">
        <f>I24*(1+J24)</f>
        <v>1.247172414</v>
      </c>
      <c r="L24" s="1"/>
      <c r="M24" s="54" t="s">
        <v>8</v>
      </c>
      <c r="N24" s="28" t="str">
        <f>C3&amp;"초"&amp;""</f>
        <v>120초</v>
      </c>
      <c r="O24" s="28"/>
      <c r="P24" s="28"/>
      <c r="Q24" s="28"/>
      <c r="R24" s="19"/>
      <c r="S24" s="62"/>
      <c r="T24" s="62"/>
      <c r="U24" s="19"/>
      <c r="V24" s="19"/>
      <c r="W24" s="19"/>
      <c r="X24" s="19"/>
      <c r="Y24" s="1"/>
      <c r="Z24" s="1"/>
      <c r="AA24" s="1"/>
    </row>
    <row r="25" ht="15.75" customHeight="1">
      <c r="B25" s="29" t="s">
        <v>104</v>
      </c>
      <c r="C25" s="21">
        <v>1488.0</v>
      </c>
      <c r="D25" s="22" t="s">
        <v>105</v>
      </c>
      <c r="E25" s="23"/>
      <c r="F25" s="23"/>
      <c r="G25" s="61"/>
      <c r="H25" s="40" t="s">
        <v>106</v>
      </c>
      <c r="I25" s="63">
        <v>0.0</v>
      </c>
      <c r="J25" s="41">
        <f>SUMIF('무기룬'!B:B, TRUE, OFFSET('무기룬'!$A:$A, 0, ROW()-2)) + SUMIF('방어구룬'!B:B, TRUE, OFFSET('방어구룬'!$A:$A, 0, ROW()-2)) + SUMIF('엠블럼룬'!B:B, TRUE, OFFSET('엠블럼룬'!$A:$A, 0, ROW()-2))</f>
        <v>0</v>
      </c>
      <c r="K25" s="64">
        <f t="shared" ref="K25:K26" si="25">I25+J25</f>
        <v>0</v>
      </c>
      <c r="L25" s="1"/>
      <c r="M25" s="54" t="s">
        <v>107</v>
      </c>
      <c r="N25" s="28" t="str">
        <f>C37</f>
        <v>2352 12</v>
      </c>
      <c r="O25" s="28"/>
      <c r="P25" s="28"/>
      <c r="Q25" s="28"/>
      <c r="R25" s="19"/>
      <c r="S25" s="19"/>
      <c r="T25" s="19"/>
      <c r="U25" s="19"/>
      <c r="V25" s="19"/>
      <c r="W25" s="19"/>
      <c r="X25" s="19"/>
      <c r="Y25" s="1"/>
      <c r="Z25" s="1"/>
      <c r="AA25" s="1"/>
    </row>
    <row r="26" ht="15.75" customHeight="1">
      <c r="B26" s="29" t="s">
        <v>108</v>
      </c>
      <c r="C26" s="21">
        <v>1792.0</v>
      </c>
      <c r="D26" s="22" t="s">
        <v>109</v>
      </c>
      <c r="E26" s="23"/>
      <c r="F26" s="23"/>
      <c r="G26" s="61"/>
      <c r="H26" s="40" t="s">
        <v>110</v>
      </c>
      <c r="I26" s="63">
        <v>0.0</v>
      </c>
      <c r="J26" s="41">
        <f>SUMIF('무기룬'!B:B, TRUE, OFFSET('무기룬'!$A:$A, 0, ROW()-2)) + SUMIF('방어구룬'!B:B, TRUE, OFFSET('방어구룬'!$A:$A, 0, ROW()-2)) + SUMIF('엠블럼룬'!B:B, TRUE, OFFSET('엠블럼룬'!$A:$A, 0, ROW()-2))</f>
        <v>0</v>
      </c>
      <c r="K26" s="64">
        <f t="shared" si="25"/>
        <v>0</v>
      </c>
      <c r="L26" s="1"/>
      <c r="M26" s="54" t="s">
        <v>21</v>
      </c>
      <c r="N26" s="28" t="str">
        <f>C6&amp;"초"</f>
        <v>0초</v>
      </c>
      <c r="O26" s="28"/>
      <c r="P26" s="28"/>
      <c r="Q26" s="28"/>
      <c r="R26" s="19"/>
      <c r="S26" s="62"/>
      <c r="T26" s="62"/>
      <c r="U26" s="19"/>
      <c r="V26" s="19"/>
      <c r="W26" s="19"/>
      <c r="X26" s="19"/>
      <c r="Y26" s="1"/>
      <c r="Z26" s="1"/>
      <c r="AA26" s="1"/>
    </row>
    <row r="27" ht="15.75" customHeight="1">
      <c r="B27" s="65" t="s">
        <v>111</v>
      </c>
      <c r="C27" s="43">
        <v>6925.0</v>
      </c>
      <c r="D27" s="66" t="s">
        <v>112</v>
      </c>
      <c r="E27" s="66"/>
      <c r="F27" s="23"/>
      <c r="G27" s="67"/>
      <c r="H27" s="40" t="s">
        <v>113</v>
      </c>
      <c r="I27" s="68">
        <v>4.0</v>
      </c>
      <c r="J27" s="41">
        <f>SUMIF('무기룬'!B:B, TRUE, OFFSET('무기룬'!$A:$A, 0, ROW()-2)) + SUMIF('방어구룬'!B:B, TRUE, OFFSET('방어구룬'!$A:$A, 0, ROW()-2)) + SUMIF('엠블럼룬'!B:B, TRUE, OFFSET('엠블럼룬'!$A:$A, 0, ROW()-2))</f>
        <v>0</v>
      </c>
      <c r="K27" s="64">
        <f>I27*(1+J27)</f>
        <v>4</v>
      </c>
      <c r="L27" s="1"/>
      <c r="M27" s="54" t="s">
        <v>107</v>
      </c>
      <c r="N27" s="28" t="str">
        <f>E37</f>
        <v>2352 12</v>
      </c>
      <c r="O27" s="28"/>
      <c r="P27" s="28"/>
      <c r="Q27" s="28"/>
      <c r="R27" s="19"/>
      <c r="S27" s="19"/>
      <c r="T27" s="19"/>
      <c r="U27" s="19"/>
      <c r="V27" s="19"/>
      <c r="W27" s="19"/>
      <c r="X27" s="19"/>
      <c r="Y27" s="1"/>
      <c r="Z27" s="1"/>
      <c r="AA27" s="1"/>
    </row>
    <row r="28" ht="15.75" customHeight="1">
      <c r="A28" s="8" t="s">
        <v>114</v>
      </c>
      <c r="B28" s="9" t="s">
        <v>115</v>
      </c>
      <c r="C28" s="33">
        <f>'보석'!F25</f>
        <v>0.471</v>
      </c>
      <c r="D28" s="69" t="s">
        <v>116</v>
      </c>
      <c r="E28" s="33">
        <f>'보석'!N25</f>
        <v>0.0285</v>
      </c>
      <c r="F28" s="13" t="s">
        <v>117</v>
      </c>
      <c r="G28" s="70">
        <f>'보석'!B25</f>
        <v>0</v>
      </c>
      <c r="H28" s="71" t="s">
        <v>118</v>
      </c>
      <c r="I28" s="72"/>
      <c r="J28" s="72"/>
      <c r="K28" s="73"/>
      <c r="L28" s="74"/>
      <c r="M28" s="54" t="s">
        <v>119</v>
      </c>
      <c r="N28" s="28" t="str">
        <f>G38+I38&amp;"초"</f>
        <v>33초</v>
      </c>
      <c r="O28" s="28"/>
      <c r="P28" s="28"/>
      <c r="Q28" s="28"/>
      <c r="R28" s="19"/>
      <c r="S28" s="19"/>
      <c r="T28" s="19"/>
      <c r="U28" s="19"/>
      <c r="V28" s="19"/>
      <c r="W28" s="19"/>
      <c r="X28" s="19"/>
      <c r="Y28" s="1"/>
      <c r="Z28" s="1"/>
      <c r="AA28" s="1"/>
    </row>
    <row r="29" ht="15.75" customHeight="1">
      <c r="B29" s="29" t="s">
        <v>120</v>
      </c>
      <c r="C29" s="41">
        <f>'보석'!H25</f>
        <v>0.471</v>
      </c>
      <c r="D29" s="75" t="s">
        <v>121</v>
      </c>
      <c r="E29" s="41">
        <f>'보석'!P25</f>
        <v>0.0425</v>
      </c>
      <c r="F29" s="51" t="s">
        <v>122</v>
      </c>
      <c r="G29" s="76">
        <f>'보석'!C25</f>
        <v>0</v>
      </c>
      <c r="H29" s="77" t="str">
        <f>IFERROR(__xludf.DUMMYFUNCTION("IFNA(WRAPROWS(LET(
    stacked_data, 
    {{'무기룬'!B:B, '무기룬'!AA:AA}; 
     {'방어구룬'!B:B, '방어구룬'!AA:AA}; 
     {'엠블럼룬'!B:B, '엠블럼룬'!AA:AA}},
    FILTER(
        CHOOSECOLS(stacked_data, 2), 
        (CHOOSECOLS(stacked_data, 1) = TRUE) * (CHOOSECOLS(stacked_"&amp;"data, 2) &lt;&gt; """")
    )
), 4), """")"),"평타쿨감9%")</f>
        <v>평타쿨감9%</v>
      </c>
      <c r="I29" s="78" t="str">
        <f>IFERROR(__xludf.DUMMYFUNCTION("""COMPUTED_VALUE"""),"각성종속")</f>
        <v>각성종속</v>
      </c>
      <c r="J29" s="78" t="str">
        <f>IFERROR(__xludf.DUMMYFUNCTION("""COMPUTED_VALUE"""),"각성종속")</f>
        <v>각성종속</v>
      </c>
      <c r="K29" s="79" t="str">
        <f>IFERROR(__xludf.DUMMYFUNCTION("""COMPUTED_VALUE"""),"방어구룬에서 강화입력")</f>
        <v>방어구룬에서 강화입력</v>
      </c>
      <c r="L29" s="74"/>
      <c r="M29" s="80" t="s">
        <v>107</v>
      </c>
      <c r="N29" s="81" t="str">
        <f>G37 &amp; " / " &amp; I37</f>
        <v>252 / 252</v>
      </c>
      <c r="O29" s="81"/>
      <c r="P29" s="82"/>
      <c r="Q29" s="83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B30" s="29" t="s">
        <v>123</v>
      </c>
      <c r="C30" s="41">
        <f>'보석'!G25</f>
        <v>0.021</v>
      </c>
      <c r="D30" s="75" t="s">
        <v>124</v>
      </c>
      <c r="E30" s="41">
        <f>'보석'!O25</f>
        <v>0.0075</v>
      </c>
      <c r="F30" s="84"/>
      <c r="G30" s="85"/>
      <c r="H30" s="77"/>
      <c r="I30" s="78"/>
      <c r="J30" s="78"/>
      <c r="K30" s="79"/>
      <c r="L30" s="74"/>
      <c r="M30" s="86" t="s">
        <v>125</v>
      </c>
      <c r="N30" s="87">
        <f>(K42+K43)/K44</f>
        <v>0</v>
      </c>
      <c r="O30" s="88"/>
      <c r="P30" s="89"/>
      <c r="Q30" s="76"/>
      <c r="R30" s="90"/>
      <c r="S30" s="90"/>
      <c r="T30" s="90"/>
      <c r="U30" s="90"/>
      <c r="V30" s="90"/>
      <c r="W30" s="90"/>
      <c r="X30" s="90"/>
      <c r="Y30" s="1"/>
      <c r="Z30" s="1"/>
      <c r="AA30" s="1"/>
    </row>
    <row r="31" ht="15.75" customHeight="1">
      <c r="B31" s="29" t="s">
        <v>126</v>
      </c>
      <c r="C31" s="41">
        <f>'보석'!E25</f>
        <v>0.021</v>
      </c>
      <c r="D31" s="75" t="s">
        <v>127</v>
      </c>
      <c r="E31" s="41">
        <f>'보석'!M25</f>
        <v>0</v>
      </c>
      <c r="G31" s="85"/>
      <c r="H31" s="77"/>
      <c r="I31" s="78"/>
      <c r="J31" s="78"/>
      <c r="K31" s="79"/>
      <c r="L31" s="74"/>
      <c r="M31" s="54" t="s">
        <v>128</v>
      </c>
      <c r="N31" s="91" t="str">
        <f>E3</f>
        <v>함선 허수아비</v>
      </c>
      <c r="O31" s="88"/>
      <c r="P31" s="89"/>
      <c r="Q31" s="76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B32" s="29" t="s">
        <v>129</v>
      </c>
      <c r="C32" s="41">
        <f>'보석'!D25</f>
        <v>0</v>
      </c>
      <c r="D32" s="75" t="s">
        <v>130</v>
      </c>
      <c r="E32" s="41">
        <f>'보석'!L25</f>
        <v>0</v>
      </c>
      <c r="F32" s="92"/>
      <c r="G32" s="93"/>
      <c r="H32" s="77"/>
      <c r="I32" s="78"/>
      <c r="J32" s="78"/>
      <c r="K32" s="79"/>
      <c r="L32" s="74"/>
      <c r="M32" s="54" t="s">
        <v>131</v>
      </c>
      <c r="N32" s="94">
        <f>C4/C3</f>
        <v>0</v>
      </c>
      <c r="O32" s="95"/>
      <c r="P32" s="96"/>
      <c r="Q32" s="97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8" t="s">
        <v>132</v>
      </c>
      <c r="B33" s="98">
        <v>1.0</v>
      </c>
      <c r="C33" s="99">
        <v>2.0</v>
      </c>
      <c r="D33" s="99">
        <v>3.0</v>
      </c>
      <c r="E33" s="99">
        <v>4.0</v>
      </c>
      <c r="F33" s="99">
        <v>5.0</v>
      </c>
      <c r="G33" s="100">
        <v>6.0</v>
      </c>
      <c r="H33" s="77"/>
      <c r="I33" s="78"/>
      <c r="J33" s="78"/>
      <c r="K33" s="79"/>
      <c r="L33" s="101"/>
      <c r="M33" s="54" t="s">
        <v>133</v>
      </c>
      <c r="N33" s="102" t="str">
        <f>'펫'!C3</f>
        <v>무옵</v>
      </c>
      <c r="O33" s="103"/>
      <c r="P33" s="104"/>
      <c r="Q33" s="105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B34" s="106">
        <v>10.0</v>
      </c>
      <c r="C34" s="107">
        <v>30.0</v>
      </c>
      <c r="D34" s="108">
        <v>10.0</v>
      </c>
      <c r="E34" s="108">
        <v>10.0</v>
      </c>
      <c r="F34" s="108">
        <v>30.0</v>
      </c>
      <c r="G34" s="109">
        <v>30.0</v>
      </c>
      <c r="H34" s="110"/>
      <c r="I34" s="36"/>
      <c r="J34" s="36"/>
      <c r="K34" s="111"/>
      <c r="L34" s="74"/>
      <c r="M34" s="112" t="s">
        <v>134</v>
      </c>
      <c r="N34" s="113">
        <f>K44</f>
        <v>3463303.88</v>
      </c>
      <c r="O34" s="113"/>
      <c r="P34" s="114"/>
      <c r="Q34" s="113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15" t="s">
        <v>135</v>
      </c>
      <c r="B35" s="1" t="str">
        <f t="shared" ref="B35:F35" si="26">IF(B34&gt;30, "30초과", IF(SUM(B$34:G$34)&gt;120, "합계 120 초과", ""))</f>
        <v/>
      </c>
      <c r="C35" s="1" t="str">
        <f t="shared" si="26"/>
        <v/>
      </c>
      <c r="D35" s="1" t="str">
        <f t="shared" si="26"/>
        <v/>
      </c>
      <c r="E35" s="1" t="str">
        <f t="shared" si="26"/>
        <v/>
      </c>
      <c r="F35" s="1" t="str">
        <f t="shared" si="26"/>
        <v/>
      </c>
      <c r="G35" s="1" t="str">
        <f>IF(G34&gt;30, "30초과", IF(SUM(G$34:M$34)&gt;120, "합계 120 초과", ""))</f>
        <v/>
      </c>
      <c r="H35" s="1"/>
      <c r="I35" s="1"/>
      <c r="J35" s="1"/>
      <c r="K35" s="1"/>
      <c r="L35" s="1"/>
      <c r="M35" s="74"/>
      <c r="N35" s="6" t="s">
        <v>136</v>
      </c>
      <c r="O35" s="116" t="b">
        <v>0</v>
      </c>
      <c r="P35" s="116" t="b">
        <v>0</v>
      </c>
      <c r="Q35" s="116" t="b">
        <v>0</v>
      </c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B36" s="117" t="s">
        <v>137</v>
      </c>
      <c r="C36" s="118"/>
      <c r="D36" s="117" t="s">
        <v>138</v>
      </c>
      <c r="E36" s="118"/>
      <c r="F36" s="98" t="s">
        <v>139</v>
      </c>
      <c r="G36" s="118"/>
      <c r="H36" s="117" t="s">
        <v>140</v>
      </c>
      <c r="I36" s="118"/>
      <c r="J36" s="98" t="s">
        <v>141</v>
      </c>
      <c r="K36" s="118"/>
      <c r="L36" s="90"/>
      <c r="M36" s="25"/>
      <c r="N36" s="6" t="s">
        <v>142</v>
      </c>
      <c r="O36" s="119">
        <f t="shared" ref="O36:Q36" si="27">IFERROR((O34)/$N34-1, "")</f>
        <v>-1</v>
      </c>
      <c r="P36" s="119">
        <f t="shared" si="27"/>
        <v>-1</v>
      </c>
      <c r="Q36" s="119">
        <f t="shared" si="27"/>
        <v>-1</v>
      </c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B37" s="120" t="s">
        <v>107</v>
      </c>
      <c r="C37" s="121" t="s">
        <v>143</v>
      </c>
      <c r="D37" s="120" t="s">
        <v>107</v>
      </c>
      <c r="E37" s="121" t="s">
        <v>143</v>
      </c>
      <c r="F37" s="120" t="s">
        <v>107</v>
      </c>
      <c r="G37" s="121" t="s">
        <v>144</v>
      </c>
      <c r="H37" s="80" t="s">
        <v>145</v>
      </c>
      <c r="I37" s="121" t="s">
        <v>144</v>
      </c>
      <c r="J37" s="120" t="s">
        <v>145</v>
      </c>
      <c r="K37" s="97">
        <f>LET(x, K39, y, K38, t_11, 11/x, t_51, 51/x, t_101, 101/x, dur_1, MIN(y, t_11), dur_2, MAX(0, MIN(y, t_51) - t_11), dur_3, MAX(0, MIN(y, t_101) - t_51), dur_4, MAX(0, y - t_101), (dur_1*1 + dur_2*2 + dur_3*3 + dur_4*4) / y)</f>
        <v>2.146988279</v>
      </c>
      <c r="L37" s="90"/>
      <c r="M37" s="122" t="s">
        <v>146</v>
      </c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B38" s="80" t="s">
        <v>147</v>
      </c>
      <c r="C38" s="123">
        <f>max(,0,C3-E38-G38-I38)</f>
        <v>87</v>
      </c>
      <c r="D38" s="80" t="s">
        <v>147</v>
      </c>
      <c r="E38" s="123">
        <f>C6-I38</f>
        <v>0</v>
      </c>
      <c r="F38" s="80" t="s">
        <v>147</v>
      </c>
      <c r="G38" s="123">
        <f>MIN(C5*'스킬 및 딜사이클'!Y3, C3) * (1-(C6/C3))</f>
        <v>33</v>
      </c>
      <c r="H38" s="80" t="s">
        <v>147</v>
      </c>
      <c r="I38" s="123">
        <f>MIN(C5*'스킬 및 딜사이클'!Y3, C3) * (C6/C3)</f>
        <v>0</v>
      </c>
      <c r="J38" s="120" t="s">
        <v>147</v>
      </c>
      <c r="K38" s="97">
        <f>sum(E38,G38,I38,C38)</f>
        <v>120</v>
      </c>
      <c r="L38" s="90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B39" s="80" t="s">
        <v>148</v>
      </c>
      <c r="C39" s="124">
        <f>'스킬 및 딜사이클'!C32/'스킬 및 딜사이클'!AJ50</f>
        <v>0.6637902423</v>
      </c>
      <c r="D39" s="125" t="s">
        <v>148</v>
      </c>
      <c r="E39" s="124">
        <f>'스킬 및 딜사이클'!C54/'스킬 및 딜사이클'!AJ72</f>
        <v>0.6637902423</v>
      </c>
      <c r="F39" s="125" t="s">
        <v>148</v>
      </c>
      <c r="G39" s="124">
        <f>'스킬 및 딜사이클'!C76/'스킬 및 딜사이클'!AJ94/2</f>
        <v>0.4525422011</v>
      </c>
      <c r="H39" s="125" t="s">
        <v>148</v>
      </c>
      <c r="I39" s="124">
        <f>'스킬 및 딜사이클'!C98/'스킬 및 딜사이클'!AJ116/2</f>
        <v>0.4525422011</v>
      </c>
      <c r="J39" s="125" t="s">
        <v>148</v>
      </c>
      <c r="K39" s="124">
        <f>(C39*C38+E39*E38+G39*G38+I39*I38)/K38</f>
        <v>0.6056970309</v>
      </c>
      <c r="L39" s="90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B40" s="80" t="s">
        <v>149</v>
      </c>
      <c r="C40" s="124">
        <f>'스킬 및 딜사이클'!AJ47/'스킬 및 딜사이클'!AJ50</f>
        <v>0.4425268282</v>
      </c>
      <c r="D40" s="125" t="s">
        <v>149</v>
      </c>
      <c r="E40" s="124">
        <f>'스킬 및 딜사이클'!AJ69/'스킬 및 딜사이클'!AJ72</f>
        <v>0.4425268282</v>
      </c>
      <c r="F40" s="125" t="s">
        <v>149</v>
      </c>
      <c r="G40" s="124">
        <f>'스킬 및 딜사이클'!AJ91/'스킬 및 딜사이클'!AJ94</f>
        <v>0</v>
      </c>
      <c r="H40" s="125" t="s">
        <v>149</v>
      </c>
      <c r="I40" s="124">
        <f>'스킬 및 딜사이클'!AJ113/'스킬 및 딜사이클'!AJ116</f>
        <v>0</v>
      </c>
      <c r="J40" s="125" t="s">
        <v>149</v>
      </c>
      <c r="K40" s="124">
        <f>(C40*C38+E40*E38+G40*G38+I40*I38)/K38</f>
        <v>0.3208319504</v>
      </c>
      <c r="L40" s="90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B41" s="80" t="s">
        <v>150</v>
      </c>
      <c r="C41" s="126">
        <f>$K$6*'스킬 및 딜사이클'!E51*2*G3*(1+'종합'!$K$8)</f>
        <v>2665798.236</v>
      </c>
      <c r="D41" s="127" t="s">
        <v>150</v>
      </c>
      <c r="E41" s="126">
        <f>$K$6*'스킬 및 딜사이클'!E73*(1+K19)*2*G3*(1+'종합'!$K$8)</f>
        <v>6373929.638</v>
      </c>
      <c r="F41" s="127" t="s">
        <v>150</v>
      </c>
      <c r="G41" s="126">
        <f>'스킬 및 딜사이클'!E95*2*(I5*(1+J5+J6+if('엠블럼룬'!$B$7=true,1,0)*min(15/'스킬 및 딜사이클'!$Y$3,1)*0.08+if('방어구룬'!$B$30=true,1,0)*min(20/'스킬 및 딜사이클'!$Y$3,1)*'방어구룬'!E30))*G3*(1+'종합'!$K$8)</f>
        <v>4627175.988</v>
      </c>
      <c r="H41" s="127" t="s">
        <v>150</v>
      </c>
      <c r="I41" s="126">
        <f>'스킬 및 딜사이클'!E117*(1+K19)*2*(I5*(1+J5+J6+if('엠블럼룬'!$B$7=true,1,0)*min(15/'스킬 및 딜사이클'!$Y$3,1)*0.08+if('방어구룬'!$B$30=true,1,0)*min(20/'스킬 및 딜사이클'!$Y$3,1)*'방어구룬'!E30))*G3*(1+'종합'!$K$8)</f>
        <v>10127752.81</v>
      </c>
      <c r="J41" s="127" t="s">
        <v>150</v>
      </c>
      <c r="K41" s="126">
        <f t="shared" ref="K41:K43" si="28">(C41*C$38+E41*E$38+G41*G$38+I41*I$38)/K$38</f>
        <v>3205177.118</v>
      </c>
      <c r="L41" s="128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B42" s="80" t="s">
        <v>151</v>
      </c>
      <c r="C42" s="126">
        <f>(1+'종합'!$K$7+'종합'!$K$15+'종합'!$C$8/100)*(1+'종합'!$K$8)*(1+K9+K10+K13)*(1-'종합'!$K$17+'종합'!$K$12*'종합'!$K$17)*(1-'종합'!$K$16+'종합'!$K$11*'종합'!$K$16)*$K$6*2*$K$25*G3</f>
        <v>0</v>
      </c>
      <c r="D42" s="127" t="s">
        <v>151</v>
      </c>
      <c r="E42" s="126">
        <f>(1+'종합'!$K$7+'종합'!$K$15+'종합'!$C$8/100)*(1+'종합'!$K$8)*(1+K9+K10+K13)*(1-'종합'!$K$17+'종합'!$K$12*'종합'!$K$17)*(1-'종합'!$K$16+'종합'!$K$11*'종합'!$K$16)*$K$6*(1+K19)*2*$K$25*G3</f>
        <v>0</v>
      </c>
      <c r="F42" s="127" t="s">
        <v>151</v>
      </c>
      <c r="G42" s="126">
        <f>(1+'종합'!$K$7+'종합'!$K$15+'종합'!$C$8/100)*(1+'종합'!$K$8)*(1+K9+K10+K13)*(1-'종합'!$K$17+'종합'!$K$12*'종합'!$K$17)*(1-'종합'!$K$16+'종합'!$K$11*'종합'!$K$16)*2*(I5*(1+J5+J6+if('엠블럼룬'!$B$7=true,1,0)*min(15/'스킬 및 딜사이클'!$Y$3,1)*0.08+if('방어구룬'!$B$30=true,1,0)*min(20/'스킬 및 딜사이클'!$Y$3,1)*0.25))*$K$25*G3</f>
        <v>0</v>
      </c>
      <c r="H42" s="127" t="s">
        <v>151</v>
      </c>
      <c r="I42" s="126">
        <f>(1+'종합'!$K$7+'종합'!$K$15+'종합'!$C$8/100)*(1+'종합'!$K$8)*(1+K9+K10+K13)*(1-'종합'!$K$17+'종합'!$K$12*'종합'!$K$17)*(1-'종합'!$K$16+'종합'!$K$11*'종합'!$K$16)*$K$6*(1+K19)*2*$K$25*G3</f>
        <v>0</v>
      </c>
      <c r="J42" s="127" t="s">
        <v>151</v>
      </c>
      <c r="K42" s="126">
        <f t="shared" si="28"/>
        <v>0</v>
      </c>
      <c r="L42" s="128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B43" s="129" t="s">
        <v>152</v>
      </c>
      <c r="C43" s="130">
        <f>(1+'종합'!$K$7+'종합'!$K$15+'종합'!$C$8/100)*(1+'종합'!$K$8)*K26*K6*2*G3</f>
        <v>0</v>
      </c>
      <c r="D43" s="131" t="s">
        <v>152</v>
      </c>
      <c r="E43" s="130">
        <f>(1+'종합'!$K$7+'종합'!$K$15+'종합'!$C$8/100)*(1+'종합'!$K$8)*K26*K6*(1+K19)*2*G3</f>
        <v>0</v>
      </c>
      <c r="F43" s="131" t="s">
        <v>152</v>
      </c>
      <c r="G43" s="130">
        <f>(1+'종합'!$K$7+'종합'!$K$15+'종합'!$C$8/100)*(1+'종합'!$K$8)*K26*2*(I5*(1+J5+J6+if('엠블럼룬'!$B$7=true,1,0)*min(15/'스킬 및 딜사이클'!$Y$3,1)*0.08+if('방어구룬'!$B$30=true,1,0)*min(20/'스킬 및 딜사이클'!$Y$3,1)*0.25))*G3</f>
        <v>0</v>
      </c>
      <c r="H43" s="131" t="s">
        <v>152</v>
      </c>
      <c r="I43" s="130">
        <f>(1+'종합'!$K$7+'종합'!$K$15+'종합'!$C$8/100)*(1+'종합'!$K$8)*K26*K6*(1+K19)*2*G3</f>
        <v>0</v>
      </c>
      <c r="J43" s="131" t="s">
        <v>152</v>
      </c>
      <c r="K43" s="130">
        <f t="shared" si="28"/>
        <v>0</v>
      </c>
      <c r="L43" s="128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B44" s="132" t="s">
        <v>134</v>
      </c>
      <c r="C44" s="133">
        <f>sum(C41:C43)*(1.015 ^ (COUNTIF(D12:D14, "초월+") + COUNTIF(D12:D14, "초월++")*2))*IF('방어구룬'!B83, '방어구룬'!AB83 + 1, 1)</f>
        <v>2787567.568</v>
      </c>
      <c r="D44" s="132" t="s">
        <v>134</v>
      </c>
      <c r="E44" s="133">
        <f>sum(E41:E43)*(1.015 ^ (COUNTIF(D12:D14, "초월+") + COUNTIF(D12:D14, "초월++")*2))*IF('방어구룬'!B83, '방어구룬'!AB83 + 1, 1)</f>
        <v>6665080.386</v>
      </c>
      <c r="F44" s="132" t="s">
        <v>134</v>
      </c>
      <c r="G44" s="133">
        <f>sum(G41:G43)*(1.015 ^ (COUNTIF(D12:D14, "초월+") + COUNTIF(D12:D14, "초월++")*2))*IF('방어구룬'!B83, '방어구룬'!AB83 + 1, 1)</f>
        <v>4838537.868</v>
      </c>
      <c r="H44" s="132" t="s">
        <v>134</v>
      </c>
      <c r="I44" s="133">
        <f>sum(I41:I43)*(1.015 ^ (COUNTIF(D12:D14, "초월+") + COUNTIF(D12:D14, "초월++")*2))*IF('방어구룬'!B83, '방어구룬'!AB83 + 1, 1)</f>
        <v>10590372.1</v>
      </c>
      <c r="J44" s="134" t="s">
        <v>134</v>
      </c>
      <c r="K44" s="135">
        <f>(sum(K41:K43)*(1.015 ^ (COUNTIF(D12:D14, "초월+") + COUNTIF(D12:D14, "초월++")*2))*IF('방어구룬'!B83, '방어구룬'!AB83 + 1, 1))*(1+'무기룬'!AB31)</f>
        <v>3463303.88</v>
      </c>
      <c r="L44" s="128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8" t="s">
        <v>153</v>
      </c>
      <c r="B45" s="136" t="s">
        <v>60</v>
      </c>
      <c r="C45" s="136" t="s">
        <v>154</v>
      </c>
      <c r="D45" s="136" t="s">
        <v>60</v>
      </c>
      <c r="E45" s="136" t="s">
        <v>154</v>
      </c>
      <c r="F45" s="136" t="s">
        <v>60</v>
      </c>
      <c r="G45" s="137" t="s">
        <v>155</v>
      </c>
      <c r="H45" s="136" t="s">
        <v>60</v>
      </c>
      <c r="I45" s="137" t="s">
        <v>144</v>
      </c>
      <c r="J45" s="138" t="s">
        <v>156</v>
      </c>
      <c r="L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B46" s="136" t="s">
        <v>157</v>
      </c>
      <c r="C46" s="136" t="s">
        <v>158</v>
      </c>
      <c r="D46" s="136" t="s">
        <v>157</v>
      </c>
      <c r="E46" s="136" t="s">
        <v>158</v>
      </c>
      <c r="F46" s="136"/>
      <c r="G46" s="136"/>
      <c r="H46" s="136"/>
      <c r="I46" s="136"/>
      <c r="L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B47" s="136" t="s">
        <v>159</v>
      </c>
      <c r="C47" s="137" t="s">
        <v>160</v>
      </c>
      <c r="D47" s="136" t="s">
        <v>159</v>
      </c>
      <c r="E47" s="137" t="s">
        <v>160</v>
      </c>
      <c r="F47" s="136" t="s">
        <v>161</v>
      </c>
      <c r="G47" s="136" t="s">
        <v>162</v>
      </c>
      <c r="H47" s="136" t="s">
        <v>161</v>
      </c>
      <c r="I47" s="137" t="s">
        <v>163</v>
      </c>
      <c r="L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B48" s="136" t="s">
        <v>161</v>
      </c>
      <c r="C48" s="136" t="s">
        <v>164</v>
      </c>
      <c r="D48" s="136" t="s">
        <v>161</v>
      </c>
      <c r="E48" s="136" t="s">
        <v>164</v>
      </c>
      <c r="F48" s="136"/>
      <c r="G48" s="136"/>
      <c r="H48" s="136"/>
      <c r="I48" s="136"/>
      <c r="L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D49" s="1"/>
      <c r="F49" s="1"/>
      <c r="H49" s="1"/>
      <c r="L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L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9"/>
      <c r="D55" s="1"/>
      <c r="E55" s="1"/>
      <c r="F55" s="1"/>
      <c r="G55" s="1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9"/>
      <c r="H58" s="1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mergeCells count="23">
    <mergeCell ref="B1:E2"/>
    <mergeCell ref="F1:G1"/>
    <mergeCell ref="H1:K2"/>
    <mergeCell ref="A3:A10"/>
    <mergeCell ref="A11:A15"/>
    <mergeCell ref="R12:R13"/>
    <mergeCell ref="A16:A27"/>
    <mergeCell ref="H36:I36"/>
    <mergeCell ref="J36:K36"/>
    <mergeCell ref="M37:Q50"/>
    <mergeCell ref="J45:K50"/>
    <mergeCell ref="H49:I50"/>
    <mergeCell ref="A45:A48"/>
    <mergeCell ref="B49:C50"/>
    <mergeCell ref="D49:E50"/>
    <mergeCell ref="F49:G50"/>
    <mergeCell ref="A28:A32"/>
    <mergeCell ref="F30:G32"/>
    <mergeCell ref="A33:A34"/>
    <mergeCell ref="A35:A44"/>
    <mergeCell ref="B36:C36"/>
    <mergeCell ref="D36:E36"/>
    <mergeCell ref="F36:G36"/>
  </mergeCells>
  <conditionalFormatting sqref="O3:O33">
    <cfRule type="expression" dxfId="0" priority="1">
      <formula>AND(O3&lt;&gt;"", O3&lt;&gt;N3)</formula>
    </cfRule>
  </conditionalFormatting>
  <conditionalFormatting sqref="O3:O34">
    <cfRule type="containsBlanks" dxfId="1" priority="2">
      <formula>LEN(TRIM(O3))=0</formula>
    </cfRule>
  </conditionalFormatting>
  <conditionalFormatting sqref="P3:P33">
    <cfRule type="expression" dxfId="0" priority="3">
      <formula>AND(P3&lt;&gt;"", P3&lt;&gt;N3)</formula>
    </cfRule>
  </conditionalFormatting>
  <conditionalFormatting sqref="P3:P34">
    <cfRule type="containsBlanks" dxfId="1" priority="4">
      <formula>LEN(TRIM(P3))=0</formula>
    </cfRule>
  </conditionalFormatting>
  <conditionalFormatting sqref="Q3:Q33">
    <cfRule type="expression" dxfId="0" priority="5">
      <formula>AND(Q3&lt;&gt;"", Q3&lt;&gt;N3)</formula>
    </cfRule>
  </conditionalFormatting>
  <conditionalFormatting sqref="Q3:Q34">
    <cfRule type="containsBlanks" dxfId="1" priority="6">
      <formula>LEN(TRIM(Q3))=0</formula>
    </cfRule>
  </conditionalFormatting>
  <dataValidations>
    <dataValidation type="list" allowBlank="1" showErrorMessage="1" sqref="C11">
      <formula1>'무기룬'!$A$2:$A$36</formula1>
    </dataValidation>
    <dataValidation type="list" allowBlank="1" showErrorMessage="1" sqref="D11:D15 G11:G15">
      <formula1>"일반,초월+,초월++"</formula1>
    </dataValidation>
    <dataValidation type="list" allowBlank="1" showErrorMessage="1" sqref="F15">
      <formula1>'방어구룬'!$A$2:$A$83</formula1>
    </dataValidation>
    <dataValidation type="list" allowBlank="1" showErrorMessage="1" sqref="F11:F14">
      <formula1>'방어구룬'!$A$2:$A$82</formula1>
    </dataValidation>
    <dataValidation type="list" allowBlank="1" showErrorMessage="1" sqref="E3">
      <formula1>"글라스기브넨,함선 허수아비,화이트서큐버스,어비스 지옥2,바리어비스,허수아비"</formula1>
    </dataValidation>
    <dataValidation type="list" allowBlank="1" showErrorMessage="1" sqref="C12:C14">
      <formula1>"순발력,열혈,전진,충돌,격파,약점,강격,비생고(임시)"</formula1>
    </dataValidation>
    <dataValidation type="list" allowBlank="1" showErrorMessage="1" sqref="C15">
      <formula1>'엠블럼룬'!$A$2:$A$13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22.38"/>
    <col customWidth="1" min="4" max="4" width="4.38"/>
    <col customWidth="1" min="5" max="5" width="11.75"/>
    <col customWidth="1" min="6" max="6" width="13.25"/>
    <col customWidth="1" min="7" max="7" width="7.63"/>
    <col customWidth="1" min="8" max="8" width="14.75"/>
    <col customWidth="1" min="9" max="9" width="2.88"/>
    <col customWidth="1" min="10" max="10" width="2.5"/>
    <col customWidth="1" min="11" max="11" width="7.13"/>
    <col customWidth="1" min="12" max="12" width="2.5"/>
    <col customWidth="1" min="14" max="14" width="26.63"/>
    <col customWidth="1" min="15" max="15" width="21.25"/>
    <col customWidth="1" min="16" max="16" width="17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9" t="s">
        <v>165</v>
      </c>
      <c r="O1" s="139" t="s">
        <v>166</v>
      </c>
      <c r="P1" s="139" t="s">
        <v>167</v>
      </c>
    </row>
    <row r="2">
      <c r="A2" s="1"/>
      <c r="B2" s="9" t="s">
        <v>168</v>
      </c>
      <c r="C2" s="49" t="s">
        <v>169</v>
      </c>
      <c r="D2" s="15" t="s">
        <v>170</v>
      </c>
      <c r="E2" s="15" t="s">
        <v>171</v>
      </c>
      <c r="F2" s="15" t="s">
        <v>172</v>
      </c>
      <c r="G2" s="15" t="s">
        <v>173</v>
      </c>
      <c r="H2" s="15" t="s">
        <v>174</v>
      </c>
      <c r="I2" s="1"/>
      <c r="J2" s="1"/>
      <c r="K2" s="1"/>
      <c r="L2" s="1"/>
      <c r="M2" s="1"/>
      <c r="N2" s="139" t="s">
        <v>175</v>
      </c>
      <c r="O2" s="139" t="s">
        <v>176</v>
      </c>
      <c r="P2" s="139" t="s">
        <v>177</v>
      </c>
    </row>
    <row r="3">
      <c r="A3" s="1"/>
      <c r="B3" s="29" t="s">
        <v>166</v>
      </c>
      <c r="C3" s="52" t="s">
        <v>176</v>
      </c>
      <c r="D3" s="140">
        <f>COUNTIF(C4:C6, "반사신경")*if(C2="신속",20%,15%)</f>
        <v>0</v>
      </c>
      <c r="E3" s="141">
        <f t="array" ref="E3">IFERROR(XLOOKUP($C$3, $B$13:$B$24, E$13:E$24) / XLOOKUP($C$3, $B$13:$B$24, $K$13:$K$24),0)</f>
        <v>0</v>
      </c>
      <c r="F3" s="141">
        <f t="array" ref="F3">IFERROR(XLOOKUP($C$3, $B$13:$B$24, F$13:F$24) *IFERROR( MIN(1, 6 / XLOOKUP($C$3, $B$13:$B$24, $K$13:$K$24)), 0),0)</f>
        <v>0</v>
      </c>
      <c r="G3" s="141">
        <f t="array" ref="G3">IFERROR(XLOOKUP($C$3, $B$13:$B$24, G$13:G$24) *IFERROR( MIN(1, 5 / XLOOKUP($C$3, $B$13:$B$24, $K$13:$K$24)), 0),0)</f>
        <v>0</v>
      </c>
      <c r="H3" s="141">
        <f t="array" ref="H3">IFERROR(XLOOKUP($C$3, $B$13:$B$24, H$13:H$24) *IFERROR( MIN(1, 10 / XLOOKUP($C$3, $B$13:$B$24, $K$13:$K$24)), 0),0)</f>
        <v>0</v>
      </c>
      <c r="I3" s="1"/>
      <c r="J3" s="1"/>
      <c r="K3" s="1"/>
      <c r="L3" s="1"/>
      <c r="M3" s="1"/>
      <c r="N3" s="139" t="s">
        <v>178</v>
      </c>
      <c r="O3" s="1" t="s">
        <v>179</v>
      </c>
      <c r="P3" s="139" t="s">
        <v>180</v>
      </c>
    </row>
    <row r="4">
      <c r="A4" s="1"/>
      <c r="B4" s="142" t="s">
        <v>181</v>
      </c>
      <c r="C4" s="52" t="s">
        <v>169</v>
      </c>
      <c r="D4" s="1"/>
      <c r="E4" s="1"/>
      <c r="F4" s="1"/>
      <c r="G4" s="1"/>
      <c r="H4" s="1"/>
      <c r="I4" s="1"/>
      <c r="J4" s="1"/>
      <c r="K4" s="1"/>
      <c r="L4" s="1"/>
      <c r="M4" s="1"/>
      <c r="N4" s="139" t="s">
        <v>182</v>
      </c>
      <c r="O4" s="1" t="s">
        <v>183</v>
      </c>
      <c r="P4" s="139" t="s">
        <v>184</v>
      </c>
    </row>
    <row r="5">
      <c r="A5" s="1"/>
      <c r="B5" s="142" t="s">
        <v>181</v>
      </c>
      <c r="C5" s="52" t="s">
        <v>169</v>
      </c>
      <c r="D5" s="1"/>
      <c r="E5" s="1"/>
      <c r="F5" s="1"/>
      <c r="G5" s="1"/>
      <c r="H5" s="1"/>
      <c r="I5" s="1"/>
      <c r="J5" s="1"/>
      <c r="K5" s="1"/>
      <c r="L5" s="1"/>
      <c r="M5" s="1"/>
      <c r="N5" s="139" t="s">
        <v>185</v>
      </c>
      <c r="O5" s="139" t="s">
        <v>176</v>
      </c>
      <c r="P5" s="139" t="s">
        <v>186</v>
      </c>
    </row>
    <row r="6">
      <c r="A6" s="1"/>
      <c r="B6" s="143" t="s">
        <v>181</v>
      </c>
      <c r="C6" s="144" t="s">
        <v>169</v>
      </c>
      <c r="D6" s="1"/>
      <c r="E6" s="1"/>
      <c r="F6" s="1"/>
      <c r="G6" s="1"/>
      <c r="H6" s="1"/>
      <c r="I6" s="1"/>
      <c r="J6" s="1"/>
      <c r="K6" s="1"/>
      <c r="L6" s="1"/>
      <c r="M6" s="1"/>
      <c r="N6" s="139" t="s">
        <v>187</v>
      </c>
      <c r="O6" s="1" t="s">
        <v>188</v>
      </c>
      <c r="P6" s="139" t="s">
        <v>189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39" t="s">
        <v>190</v>
      </c>
      <c r="O7" s="1" t="s">
        <v>191</v>
      </c>
      <c r="P7" s="139" t="s">
        <v>192</v>
      </c>
    </row>
    <row r="8">
      <c r="A8" s="1"/>
      <c r="B8" s="145" t="s">
        <v>193</v>
      </c>
      <c r="C8" s="146"/>
      <c r="D8" s="146"/>
      <c r="E8" s="146"/>
      <c r="F8" s="146"/>
      <c r="G8" s="146"/>
      <c r="H8" s="146"/>
      <c r="I8" s="146"/>
      <c r="J8" s="146"/>
      <c r="K8" s="146"/>
      <c r="L8" s="118"/>
      <c r="M8" s="1"/>
      <c r="N8" s="139" t="s">
        <v>194</v>
      </c>
      <c r="O8" s="1" t="s">
        <v>195</v>
      </c>
      <c r="P8" s="139" t="s">
        <v>196</v>
      </c>
    </row>
    <row r="9">
      <c r="A9" s="1"/>
      <c r="B9" s="147"/>
      <c r="L9" s="85"/>
      <c r="M9" s="1"/>
      <c r="N9" s="139" t="s">
        <v>197</v>
      </c>
      <c r="O9" s="1" t="s">
        <v>198</v>
      </c>
      <c r="P9" s="139" t="s">
        <v>199</v>
      </c>
    </row>
    <row r="10">
      <c r="A10" s="1"/>
      <c r="B10" s="148"/>
      <c r="C10" s="92"/>
      <c r="D10" s="92"/>
      <c r="E10" s="92"/>
      <c r="F10" s="92"/>
      <c r="G10" s="92"/>
      <c r="H10" s="92"/>
      <c r="I10" s="92"/>
      <c r="J10" s="92"/>
      <c r="K10" s="92"/>
      <c r="L10" s="93"/>
      <c r="M10" s="1"/>
      <c r="N10" s="139" t="s">
        <v>200</v>
      </c>
      <c r="O10" s="139" t="s">
        <v>176</v>
      </c>
      <c r="P10" s="139" t="s">
        <v>201</v>
      </c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 t="s">
        <v>202</v>
      </c>
      <c r="L12" s="1"/>
      <c r="M12" s="1"/>
    </row>
    <row r="13">
      <c r="A13" s="1"/>
      <c r="B13" s="1" t="s">
        <v>203</v>
      </c>
      <c r="C13" s="1" t="s">
        <v>204</v>
      </c>
      <c r="D13" s="1"/>
      <c r="E13" s="149">
        <v>0.06</v>
      </c>
      <c r="F13" s="150"/>
      <c r="G13" s="1"/>
      <c r="H13" s="1"/>
      <c r="I13" s="151">
        <v>40.0</v>
      </c>
      <c r="J13" s="1" t="s">
        <v>9</v>
      </c>
      <c r="K13" s="151">
        <f t="shared" ref="K13:K24" si="1">I13*(1-$D$3)</f>
        <v>40</v>
      </c>
      <c r="L13" s="1" t="s">
        <v>9</v>
      </c>
      <c r="M13" s="1"/>
    </row>
    <row r="14">
      <c r="A14" s="1"/>
      <c r="B14" s="1" t="s">
        <v>179</v>
      </c>
      <c r="C14" s="1" t="s">
        <v>204</v>
      </c>
      <c r="D14" s="1"/>
      <c r="E14" s="149">
        <v>0.08</v>
      </c>
      <c r="F14" s="150"/>
      <c r="G14" s="1"/>
      <c r="H14" s="1"/>
      <c r="I14" s="151">
        <v>40.0</v>
      </c>
      <c r="J14" s="1" t="s">
        <v>9</v>
      </c>
      <c r="K14" s="151">
        <f t="shared" si="1"/>
        <v>40</v>
      </c>
      <c r="L14" s="1" t="s">
        <v>9</v>
      </c>
      <c r="M14" s="1"/>
    </row>
    <row r="15">
      <c r="A15" s="1"/>
      <c r="B15" s="1" t="s">
        <v>183</v>
      </c>
      <c r="C15" s="1" t="s">
        <v>204</v>
      </c>
      <c r="D15" s="1"/>
      <c r="E15" s="149">
        <v>0.1</v>
      </c>
      <c r="F15" s="150"/>
      <c r="G15" s="1"/>
      <c r="H15" s="1"/>
      <c r="I15" s="151">
        <v>40.0</v>
      </c>
      <c r="J15" s="1" t="s">
        <v>9</v>
      </c>
      <c r="K15" s="151">
        <f t="shared" si="1"/>
        <v>40</v>
      </c>
      <c r="L15" s="1" t="s">
        <v>9</v>
      </c>
      <c r="M15" s="1"/>
    </row>
    <row r="16">
      <c r="A16" s="1"/>
      <c r="B16" s="1" t="s">
        <v>205</v>
      </c>
      <c r="C16" s="1" t="s">
        <v>206</v>
      </c>
      <c r="D16" s="1"/>
      <c r="E16" s="1"/>
      <c r="F16" s="149">
        <v>0.02</v>
      </c>
      <c r="G16" s="1"/>
      <c r="H16" s="1"/>
      <c r="I16" s="151">
        <v>8.0</v>
      </c>
      <c r="J16" s="1" t="s">
        <v>9</v>
      </c>
      <c r="K16" s="151">
        <f t="shared" si="1"/>
        <v>8</v>
      </c>
      <c r="L16" s="1" t="s">
        <v>9</v>
      </c>
      <c r="M16" s="1"/>
    </row>
    <row r="17">
      <c r="A17" s="1"/>
      <c r="B17" s="1" t="s">
        <v>207</v>
      </c>
      <c r="C17" s="1" t="s">
        <v>206</v>
      </c>
      <c r="D17" s="1"/>
      <c r="E17" s="1"/>
      <c r="F17" s="149">
        <v>0.03</v>
      </c>
      <c r="G17" s="1"/>
      <c r="H17" s="1"/>
      <c r="I17" s="151">
        <v>8.0</v>
      </c>
      <c r="J17" s="1" t="s">
        <v>9</v>
      </c>
      <c r="K17" s="151">
        <f t="shared" si="1"/>
        <v>8</v>
      </c>
      <c r="L17" s="1" t="s">
        <v>9</v>
      </c>
      <c r="M17" s="1"/>
    </row>
    <row r="18">
      <c r="A18" s="1"/>
      <c r="B18" s="1" t="s">
        <v>188</v>
      </c>
      <c r="C18" s="1" t="s">
        <v>206</v>
      </c>
      <c r="D18" s="1"/>
      <c r="E18" s="1"/>
      <c r="F18" s="149">
        <v>0.04</v>
      </c>
      <c r="G18" s="1"/>
      <c r="H18" s="1"/>
      <c r="I18" s="151">
        <v>8.0</v>
      </c>
      <c r="J18" s="1" t="s">
        <v>9</v>
      </c>
      <c r="K18" s="151">
        <f t="shared" si="1"/>
        <v>8</v>
      </c>
      <c r="L18" s="1" t="s">
        <v>9</v>
      </c>
      <c r="M18" s="1"/>
    </row>
    <row r="19">
      <c r="A19" s="1"/>
      <c r="B19" s="1" t="s">
        <v>208</v>
      </c>
      <c r="C19" s="1" t="s">
        <v>209</v>
      </c>
      <c r="D19" s="1"/>
      <c r="E19" s="1"/>
      <c r="F19" s="150"/>
      <c r="G19" s="149">
        <v>0.1</v>
      </c>
      <c r="H19" s="1"/>
      <c r="I19" s="151">
        <v>30.0</v>
      </c>
      <c r="J19" s="1" t="s">
        <v>9</v>
      </c>
      <c r="K19" s="151">
        <f t="shared" si="1"/>
        <v>30</v>
      </c>
      <c r="L19" s="1" t="s">
        <v>9</v>
      </c>
      <c r="M19" s="1"/>
    </row>
    <row r="20">
      <c r="A20" s="1"/>
      <c r="B20" s="1" t="s">
        <v>210</v>
      </c>
      <c r="C20" s="1" t="s">
        <v>209</v>
      </c>
      <c r="D20" s="1"/>
      <c r="E20" s="1"/>
      <c r="F20" s="150"/>
      <c r="G20" s="149">
        <v>0.12</v>
      </c>
      <c r="H20" s="1"/>
      <c r="I20" s="151">
        <v>30.0</v>
      </c>
      <c r="J20" s="1" t="s">
        <v>9</v>
      </c>
      <c r="K20" s="151">
        <f t="shared" si="1"/>
        <v>30</v>
      </c>
      <c r="L20" s="1" t="s">
        <v>9</v>
      </c>
      <c r="M20" s="1"/>
    </row>
    <row r="21">
      <c r="A21" s="1"/>
      <c r="B21" s="1" t="s">
        <v>191</v>
      </c>
      <c r="C21" s="1" t="s">
        <v>209</v>
      </c>
      <c r="D21" s="1"/>
      <c r="E21" s="1"/>
      <c r="F21" s="150"/>
      <c r="G21" s="149">
        <v>0.15</v>
      </c>
      <c r="H21" s="1"/>
      <c r="I21" s="151">
        <v>30.0</v>
      </c>
      <c r="J21" s="1" t="s">
        <v>9</v>
      </c>
      <c r="K21" s="151">
        <f t="shared" si="1"/>
        <v>30</v>
      </c>
      <c r="L21" s="1" t="s">
        <v>9</v>
      </c>
      <c r="M21" s="1"/>
    </row>
    <row r="22">
      <c r="A22" s="1"/>
      <c r="B22" s="1" t="s">
        <v>211</v>
      </c>
      <c r="C22" s="1" t="s">
        <v>212</v>
      </c>
      <c r="D22" s="1"/>
      <c r="E22" s="1"/>
      <c r="F22" s="150"/>
      <c r="G22" s="1"/>
      <c r="H22" s="149">
        <v>0.08</v>
      </c>
      <c r="I22" s="151">
        <v>50.0</v>
      </c>
      <c r="J22" s="1" t="s">
        <v>9</v>
      </c>
      <c r="K22" s="151">
        <f t="shared" si="1"/>
        <v>50</v>
      </c>
      <c r="L22" s="1" t="s">
        <v>9</v>
      </c>
      <c r="M22" s="1"/>
    </row>
    <row r="23">
      <c r="A23" s="1"/>
      <c r="B23" s="1" t="s">
        <v>195</v>
      </c>
      <c r="C23" s="1" t="s">
        <v>212</v>
      </c>
      <c r="D23" s="1"/>
      <c r="E23" s="1"/>
      <c r="F23" s="150"/>
      <c r="G23" s="1"/>
      <c r="H23" s="149">
        <v>0.09</v>
      </c>
      <c r="I23" s="151">
        <v>50.0</v>
      </c>
      <c r="J23" s="1" t="s">
        <v>9</v>
      </c>
      <c r="K23" s="151">
        <f t="shared" si="1"/>
        <v>50</v>
      </c>
      <c r="L23" s="1" t="s">
        <v>9</v>
      </c>
      <c r="M23" s="1"/>
    </row>
    <row r="24">
      <c r="A24" s="1"/>
      <c r="B24" s="1" t="s">
        <v>198</v>
      </c>
      <c r="C24" s="1" t="s">
        <v>212</v>
      </c>
      <c r="D24" s="1"/>
      <c r="E24" s="1"/>
      <c r="F24" s="150"/>
      <c r="G24" s="1"/>
      <c r="H24" s="149">
        <v>0.1</v>
      </c>
      <c r="I24" s="151">
        <v>50.0</v>
      </c>
      <c r="J24" s="1" t="s">
        <v>9</v>
      </c>
      <c r="K24" s="151">
        <f t="shared" si="1"/>
        <v>50</v>
      </c>
      <c r="L24" s="1" t="s">
        <v>9</v>
      </c>
      <c r="M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1">
    <mergeCell ref="B8:L10"/>
  </mergeCells>
  <dataValidations>
    <dataValidation type="list" allowBlank="1" showErrorMessage="1" sqref="C2">
      <formula1>"신속,그 외"</formula1>
    </dataValidation>
    <dataValidation type="list" allowBlank="1" showErrorMessage="1" sqref="C3">
      <formula1>"무옵,궁극의 응원,궁극의 응원S,궁극의 응원SS,브레이크 하울링,브레이크 하울링S,브레이크 하울링SS,쾌속의 날갯짓,쾌속의 날갯짓S,쾌속의 날갯짓SS,작은 동반자의 응원,작은 동반자의 응원S,작은 동반자의 응원SS"</formula1>
    </dataValidation>
    <dataValidation type="list" allowBlank="1" showErrorMessage="1" sqref="C4:C6">
      <formula1>"반사신경,그 외"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9" width="7.63"/>
  </cols>
  <sheetData>
    <row r="1">
      <c r="A1" s="152"/>
      <c r="B1" s="153" t="s">
        <v>213</v>
      </c>
      <c r="C1" s="154" t="s">
        <v>214</v>
      </c>
      <c r="D1" s="155" t="s">
        <v>129</v>
      </c>
      <c r="E1" s="156" t="s">
        <v>126</v>
      </c>
      <c r="F1" s="156" t="s">
        <v>115</v>
      </c>
      <c r="G1" s="157" t="s">
        <v>123</v>
      </c>
      <c r="H1" s="155" t="s">
        <v>120</v>
      </c>
      <c r="I1" s="156" t="s">
        <v>215</v>
      </c>
      <c r="J1" s="156" t="s">
        <v>216</v>
      </c>
      <c r="K1" s="157" t="s">
        <v>217</v>
      </c>
      <c r="L1" s="155" t="s">
        <v>130</v>
      </c>
      <c r="M1" s="156" t="s">
        <v>127</v>
      </c>
      <c r="N1" s="156" t="s">
        <v>116</v>
      </c>
      <c r="O1" s="157" t="s">
        <v>124</v>
      </c>
      <c r="P1" s="155" t="s">
        <v>121</v>
      </c>
      <c r="Q1" s="156" t="s">
        <v>218</v>
      </c>
      <c r="R1" s="156" t="s">
        <v>219</v>
      </c>
      <c r="S1" s="157" t="s">
        <v>220</v>
      </c>
    </row>
    <row r="2">
      <c r="A2" s="158" t="s">
        <v>39</v>
      </c>
      <c r="B2" s="159"/>
      <c r="C2" s="160"/>
      <c r="D2" s="161"/>
      <c r="E2" s="162"/>
      <c r="F2" s="163">
        <v>2.1</v>
      </c>
      <c r="G2" s="160"/>
      <c r="H2" s="164">
        <v>2.1</v>
      </c>
      <c r="I2" s="165"/>
      <c r="J2" s="162"/>
      <c r="K2" s="166"/>
      <c r="L2" s="161"/>
      <c r="M2" s="162"/>
      <c r="N2" s="163">
        <v>0.7</v>
      </c>
      <c r="O2" s="166"/>
      <c r="P2" s="161"/>
      <c r="Q2" s="162"/>
      <c r="R2" s="162"/>
      <c r="S2" s="166"/>
      <c r="T2" s="167" t="str">
        <f t="shared" ref="T2:T23" si="1">IF((IF(B2, 3, 0) + IF(C2, 3, 0) + COUNTA(D2:S2)) &gt; 3, "확인요망", "")</f>
        <v/>
      </c>
    </row>
    <row r="3">
      <c r="A3" s="147"/>
      <c r="B3" s="168"/>
      <c r="C3" s="169"/>
      <c r="D3" s="170"/>
      <c r="E3" s="171"/>
      <c r="F3" s="172">
        <v>2.1</v>
      </c>
      <c r="G3" s="169"/>
      <c r="H3" s="173">
        <v>2.1</v>
      </c>
      <c r="I3" s="53"/>
      <c r="J3" s="171"/>
      <c r="K3" s="46"/>
      <c r="L3" s="168"/>
      <c r="M3" s="174"/>
      <c r="N3" s="172">
        <v>0.7</v>
      </c>
      <c r="O3" s="46"/>
      <c r="P3" s="168"/>
      <c r="Q3" s="171"/>
      <c r="R3" s="171"/>
      <c r="S3" s="46"/>
      <c r="T3" s="167" t="str">
        <f t="shared" si="1"/>
        <v/>
      </c>
    </row>
    <row r="4">
      <c r="A4" s="148"/>
      <c r="B4" s="175"/>
      <c r="C4" s="176"/>
      <c r="D4" s="170"/>
      <c r="E4" s="177"/>
      <c r="F4" s="107">
        <v>2.1</v>
      </c>
      <c r="G4" s="178"/>
      <c r="H4" s="106">
        <v>2.1</v>
      </c>
      <c r="I4" s="177"/>
      <c r="J4" s="177"/>
      <c r="K4" s="176"/>
      <c r="L4" s="179"/>
      <c r="M4" s="177"/>
      <c r="N4" s="107">
        <v>0.7</v>
      </c>
      <c r="O4" s="176"/>
      <c r="P4" s="179"/>
      <c r="Q4" s="177"/>
      <c r="R4" s="107"/>
      <c r="S4" s="176"/>
      <c r="T4" s="167" t="str">
        <f t="shared" si="1"/>
        <v/>
      </c>
    </row>
    <row r="5">
      <c r="A5" s="180" t="s">
        <v>221</v>
      </c>
      <c r="B5" s="181"/>
      <c r="C5" s="182"/>
      <c r="D5" s="181"/>
      <c r="E5" s="183"/>
      <c r="F5" s="184">
        <v>2.2</v>
      </c>
      <c r="G5" s="185"/>
      <c r="H5" s="186">
        <v>2.2</v>
      </c>
      <c r="I5" s="183"/>
      <c r="J5" s="183"/>
      <c r="K5" s="187"/>
      <c r="L5" s="181"/>
      <c r="M5" s="188"/>
      <c r="N5" s="189">
        <v>0.75</v>
      </c>
      <c r="O5" s="182"/>
      <c r="P5" s="53"/>
      <c r="Q5" s="183"/>
      <c r="R5" s="183"/>
      <c r="S5" s="182"/>
      <c r="T5" s="167" t="str">
        <f t="shared" si="1"/>
        <v/>
      </c>
    </row>
    <row r="6">
      <c r="A6" s="180" t="s">
        <v>222</v>
      </c>
      <c r="B6" s="181"/>
      <c r="C6" s="182"/>
      <c r="D6" s="181"/>
      <c r="E6" s="188"/>
      <c r="F6" s="184">
        <v>2.2</v>
      </c>
      <c r="G6" s="185"/>
      <c r="H6" s="186">
        <v>2.2</v>
      </c>
      <c r="I6" s="184"/>
      <c r="J6" s="183"/>
      <c r="K6" s="182"/>
      <c r="L6" s="181"/>
      <c r="M6" s="183"/>
      <c r="N6" s="183"/>
      <c r="O6" s="182"/>
      <c r="P6" s="190">
        <v>0.75</v>
      </c>
      <c r="Q6" s="183"/>
      <c r="R6" s="183"/>
      <c r="S6" s="182"/>
      <c r="T6" s="167" t="str">
        <f t="shared" si="1"/>
        <v/>
      </c>
    </row>
    <row r="7">
      <c r="A7" s="180" t="s">
        <v>222</v>
      </c>
      <c r="B7" s="181"/>
      <c r="C7" s="182"/>
      <c r="D7" s="181"/>
      <c r="E7" s="188"/>
      <c r="F7" s="184">
        <v>2.1</v>
      </c>
      <c r="G7" s="185"/>
      <c r="H7" s="186">
        <v>2.1</v>
      </c>
      <c r="I7" s="183"/>
      <c r="J7" s="183"/>
      <c r="K7" s="187"/>
      <c r="L7" s="191"/>
      <c r="M7" s="183"/>
      <c r="N7" s="183"/>
      <c r="O7" s="182"/>
      <c r="P7" s="190">
        <v>0.7</v>
      </c>
      <c r="Q7" s="183"/>
      <c r="R7" s="183"/>
      <c r="S7" s="182"/>
      <c r="T7" s="167" t="str">
        <f t="shared" si="1"/>
        <v/>
      </c>
    </row>
    <row r="8">
      <c r="A8" s="180" t="s">
        <v>66</v>
      </c>
      <c r="B8" s="181"/>
      <c r="C8" s="185"/>
      <c r="D8" s="181"/>
      <c r="E8" s="183"/>
      <c r="F8" s="163">
        <v>2.1</v>
      </c>
      <c r="G8" s="182"/>
      <c r="H8" s="164">
        <v>2.1</v>
      </c>
      <c r="I8" s="183"/>
      <c r="J8" s="183"/>
      <c r="K8" s="182"/>
      <c r="L8" s="181"/>
      <c r="M8" s="183"/>
      <c r="N8" s="183"/>
      <c r="O8" s="182"/>
      <c r="P8" s="190">
        <v>0.7</v>
      </c>
      <c r="Q8" s="183"/>
      <c r="R8" s="183"/>
      <c r="S8" s="187"/>
      <c r="T8" s="167" t="str">
        <f t="shared" si="1"/>
        <v/>
      </c>
    </row>
    <row r="9">
      <c r="A9" s="158" t="s">
        <v>223</v>
      </c>
      <c r="B9" s="161"/>
      <c r="C9" s="166"/>
      <c r="D9" s="161"/>
      <c r="E9" s="165"/>
      <c r="F9" s="163">
        <v>2.1</v>
      </c>
      <c r="G9" s="165"/>
      <c r="H9" s="164">
        <v>2.1</v>
      </c>
      <c r="I9" s="162"/>
      <c r="J9" s="162"/>
      <c r="K9" s="166"/>
      <c r="L9" s="159"/>
      <c r="M9" s="162"/>
      <c r="N9" s="165"/>
      <c r="O9" s="192"/>
      <c r="P9" s="193">
        <v>0.7</v>
      </c>
      <c r="Q9" s="162"/>
      <c r="R9" s="162"/>
      <c r="S9" s="166"/>
      <c r="T9" s="167" t="str">
        <f t="shared" si="1"/>
        <v/>
      </c>
    </row>
    <row r="10">
      <c r="A10" s="147"/>
      <c r="B10" s="168"/>
      <c r="C10" s="46"/>
      <c r="D10" s="168"/>
      <c r="E10" s="171"/>
      <c r="F10" s="172">
        <v>2.1</v>
      </c>
      <c r="G10" s="169"/>
      <c r="H10" s="173">
        <v>2.1</v>
      </c>
      <c r="I10" s="171"/>
      <c r="J10" s="172"/>
      <c r="K10" s="46"/>
      <c r="L10" s="170"/>
      <c r="M10" s="171"/>
      <c r="N10" s="53"/>
      <c r="O10" s="46"/>
      <c r="P10" s="194">
        <v>0.7</v>
      </c>
      <c r="Q10" s="171"/>
      <c r="R10" s="171"/>
      <c r="S10" s="46"/>
      <c r="T10" s="167" t="str">
        <f t="shared" si="1"/>
        <v/>
      </c>
    </row>
    <row r="11">
      <c r="A11" s="148"/>
      <c r="B11" s="179"/>
      <c r="C11" s="176"/>
      <c r="D11" s="179"/>
      <c r="E11" s="177"/>
      <c r="F11" s="108">
        <v>2.1</v>
      </c>
      <c r="G11" s="178"/>
      <c r="H11" s="195">
        <v>2.1</v>
      </c>
      <c r="I11" s="177"/>
      <c r="J11" s="177"/>
      <c r="K11" s="176"/>
      <c r="L11" s="175"/>
      <c r="M11" s="177"/>
      <c r="N11" s="177"/>
      <c r="O11" s="196"/>
      <c r="P11" s="197">
        <v>0.7</v>
      </c>
      <c r="Q11" s="177"/>
      <c r="R11" s="177"/>
      <c r="S11" s="176"/>
      <c r="T11" s="167" t="str">
        <f t="shared" si="1"/>
        <v/>
      </c>
    </row>
    <row r="12">
      <c r="A12" s="158" t="s">
        <v>224</v>
      </c>
      <c r="B12" s="161"/>
      <c r="C12" s="166"/>
      <c r="D12" s="161"/>
      <c r="E12" s="162"/>
      <c r="F12" s="172">
        <v>2.2</v>
      </c>
      <c r="G12" s="160"/>
      <c r="H12" s="164">
        <v>2.2</v>
      </c>
      <c r="I12" s="162"/>
      <c r="J12" s="162"/>
      <c r="K12" s="166"/>
      <c r="L12" s="159"/>
      <c r="M12" s="162"/>
      <c r="N12" s="198"/>
      <c r="O12" s="49">
        <v>0.75</v>
      </c>
      <c r="P12" s="161"/>
      <c r="Q12" s="162"/>
      <c r="R12" s="162"/>
      <c r="S12" s="166"/>
      <c r="T12" s="167" t="str">
        <f t="shared" si="1"/>
        <v/>
      </c>
    </row>
    <row r="13">
      <c r="A13" s="147"/>
      <c r="B13" s="168"/>
      <c r="C13" s="46"/>
      <c r="D13" s="168"/>
      <c r="E13" s="171"/>
      <c r="F13" s="172">
        <v>2.2</v>
      </c>
      <c r="G13" s="169"/>
      <c r="H13" s="173">
        <v>2.2</v>
      </c>
      <c r="I13" s="50">
        <v>2.2</v>
      </c>
      <c r="J13" s="171"/>
      <c r="K13" s="46"/>
      <c r="L13" s="170"/>
      <c r="M13" s="171"/>
      <c r="N13" s="171"/>
      <c r="O13" s="199"/>
      <c r="P13" s="168"/>
      <c r="Q13" s="171"/>
      <c r="R13" s="171"/>
      <c r="S13" s="46"/>
      <c r="T13" s="167" t="str">
        <f t="shared" si="1"/>
        <v/>
      </c>
    </row>
    <row r="14">
      <c r="A14" s="148"/>
      <c r="B14" s="179"/>
      <c r="C14" s="176"/>
      <c r="D14" s="179"/>
      <c r="E14" s="107"/>
      <c r="F14" s="107">
        <v>2.2</v>
      </c>
      <c r="G14" s="178"/>
      <c r="H14" s="106">
        <v>2.2</v>
      </c>
      <c r="I14" s="177"/>
      <c r="J14" s="45">
        <v>2.2</v>
      </c>
      <c r="K14" s="176"/>
      <c r="L14" s="175"/>
      <c r="M14" s="177"/>
      <c r="N14" s="177"/>
      <c r="O14" s="176"/>
      <c r="P14" s="179"/>
      <c r="Q14" s="177"/>
      <c r="R14" s="177"/>
      <c r="S14" s="176"/>
      <c r="T14" s="167" t="str">
        <f t="shared" si="1"/>
        <v/>
      </c>
    </row>
    <row r="15">
      <c r="A15" s="158" t="s">
        <v>225</v>
      </c>
      <c r="B15" s="161"/>
      <c r="C15" s="166"/>
      <c r="D15" s="159"/>
      <c r="E15" s="165"/>
      <c r="F15" s="172">
        <v>2.1</v>
      </c>
      <c r="G15" s="160"/>
      <c r="H15" s="164">
        <v>2.1</v>
      </c>
      <c r="I15" s="48">
        <v>2.1</v>
      </c>
      <c r="J15" s="162"/>
      <c r="K15" s="166"/>
      <c r="L15" s="159"/>
      <c r="M15" s="162"/>
      <c r="N15" s="162"/>
      <c r="O15" s="192"/>
      <c r="P15" s="161"/>
      <c r="Q15" s="162"/>
      <c r="R15" s="162"/>
      <c r="S15" s="166"/>
      <c r="T15" s="167" t="str">
        <f t="shared" si="1"/>
        <v/>
      </c>
    </row>
    <row r="16">
      <c r="A16" s="147"/>
      <c r="B16" s="168"/>
      <c r="C16" s="46"/>
      <c r="D16" s="170"/>
      <c r="E16" s="53"/>
      <c r="F16" s="172">
        <v>2.2</v>
      </c>
      <c r="G16" s="200"/>
      <c r="H16" s="173">
        <v>2.2</v>
      </c>
      <c r="I16" s="50">
        <v>2.2</v>
      </c>
      <c r="J16" s="171"/>
      <c r="K16" s="46"/>
      <c r="L16" s="168"/>
      <c r="M16" s="171"/>
      <c r="N16" s="171"/>
      <c r="O16" s="46"/>
      <c r="P16" s="168"/>
      <c r="Q16" s="171"/>
      <c r="R16" s="171"/>
      <c r="S16" s="46"/>
      <c r="T16" s="167" t="str">
        <f t="shared" si="1"/>
        <v/>
      </c>
    </row>
    <row r="17">
      <c r="A17" s="148"/>
      <c r="B17" s="179"/>
      <c r="C17" s="176"/>
      <c r="D17" s="175"/>
      <c r="E17" s="201"/>
      <c r="F17" s="107">
        <v>2.2</v>
      </c>
      <c r="G17" s="178"/>
      <c r="H17" s="106">
        <v>2.2</v>
      </c>
      <c r="I17" s="177"/>
      <c r="J17" s="107"/>
      <c r="K17" s="144">
        <v>2.2</v>
      </c>
      <c r="L17" s="179"/>
      <c r="M17" s="177"/>
      <c r="N17" s="177"/>
      <c r="O17" s="176"/>
      <c r="P17" s="179"/>
      <c r="Q17" s="177"/>
      <c r="R17" s="177"/>
      <c r="S17" s="176"/>
      <c r="T17" s="167" t="str">
        <f t="shared" si="1"/>
        <v/>
      </c>
    </row>
    <row r="18">
      <c r="A18" s="158" t="s">
        <v>226</v>
      </c>
      <c r="B18" s="161"/>
      <c r="C18" s="166"/>
      <c r="D18" s="161"/>
      <c r="E18" s="162"/>
      <c r="F18" s="172">
        <v>2.2</v>
      </c>
      <c r="G18" s="160"/>
      <c r="H18" s="164">
        <v>2.2</v>
      </c>
      <c r="I18" s="162"/>
      <c r="J18" s="163"/>
      <c r="K18" s="166"/>
      <c r="L18" s="161"/>
      <c r="M18" s="165"/>
      <c r="N18" s="165"/>
      <c r="O18" s="166"/>
      <c r="P18" s="161"/>
      <c r="Q18" s="162"/>
      <c r="R18" s="162"/>
      <c r="S18" s="49">
        <v>0.75</v>
      </c>
      <c r="T18" s="167" t="str">
        <f t="shared" si="1"/>
        <v/>
      </c>
    </row>
    <row r="19">
      <c r="A19" s="147"/>
      <c r="B19" s="168"/>
      <c r="C19" s="46"/>
      <c r="D19" s="168"/>
      <c r="E19" s="53"/>
      <c r="F19" s="172">
        <v>2.2</v>
      </c>
      <c r="G19" s="169"/>
      <c r="H19" s="173">
        <v>2.2</v>
      </c>
      <c r="I19" s="53"/>
      <c r="J19" s="171"/>
      <c r="K19" s="200"/>
      <c r="L19" s="168"/>
      <c r="M19" s="171"/>
      <c r="N19" s="171"/>
      <c r="O19" s="46"/>
      <c r="P19" s="168"/>
      <c r="Q19" s="171"/>
      <c r="R19" s="50">
        <v>0.75</v>
      </c>
      <c r="S19" s="46"/>
      <c r="T19" s="167" t="str">
        <f t="shared" si="1"/>
        <v/>
      </c>
    </row>
    <row r="20">
      <c r="A20" s="148"/>
      <c r="B20" s="179"/>
      <c r="C20" s="176"/>
      <c r="D20" s="179"/>
      <c r="E20" s="45">
        <v>2.1</v>
      </c>
      <c r="F20" s="107">
        <v>2.1</v>
      </c>
      <c r="G20" s="178"/>
      <c r="H20" s="106">
        <v>2.1</v>
      </c>
      <c r="I20" s="201"/>
      <c r="J20" s="177"/>
      <c r="K20" s="176"/>
      <c r="L20" s="179"/>
      <c r="M20" s="107"/>
      <c r="N20" s="177"/>
      <c r="O20" s="176"/>
      <c r="P20" s="179"/>
      <c r="Q20" s="177"/>
      <c r="R20" s="177"/>
      <c r="S20" s="176"/>
      <c r="T20" s="167" t="str">
        <f t="shared" si="1"/>
        <v/>
      </c>
    </row>
    <row r="21">
      <c r="A21" s="158" t="s">
        <v>227</v>
      </c>
      <c r="B21" s="161"/>
      <c r="C21" s="166"/>
      <c r="D21" s="161"/>
      <c r="E21" s="162"/>
      <c r="F21" s="172">
        <v>2.1</v>
      </c>
      <c r="G21" s="160"/>
      <c r="H21" s="164">
        <v>2.1</v>
      </c>
      <c r="I21" s="165"/>
      <c r="J21" s="162"/>
      <c r="K21" s="166"/>
      <c r="L21" s="161"/>
      <c r="M21" s="163"/>
      <c r="N21" s="162"/>
      <c r="O21" s="166"/>
      <c r="P21" s="161"/>
      <c r="Q21" s="162"/>
      <c r="R21" s="48">
        <v>0.7</v>
      </c>
      <c r="S21" s="166"/>
      <c r="T21" s="167" t="str">
        <f t="shared" si="1"/>
        <v/>
      </c>
    </row>
    <row r="22">
      <c r="A22" s="147"/>
      <c r="B22" s="168"/>
      <c r="C22" s="46"/>
      <c r="D22" s="168"/>
      <c r="E22" s="171"/>
      <c r="F22" s="172">
        <v>2.1</v>
      </c>
      <c r="G22" s="169"/>
      <c r="H22" s="173">
        <v>2.1</v>
      </c>
      <c r="I22" s="53"/>
      <c r="J22" s="171"/>
      <c r="K22" s="46"/>
      <c r="L22" s="173"/>
      <c r="M22" s="171"/>
      <c r="N22" s="53"/>
      <c r="O22" s="46"/>
      <c r="P22" s="170"/>
      <c r="Q22" s="53"/>
      <c r="R22" s="50">
        <v>0.7</v>
      </c>
      <c r="S22" s="46"/>
      <c r="T22" s="167" t="str">
        <f t="shared" si="1"/>
        <v/>
      </c>
    </row>
    <row r="23">
      <c r="A23" s="148"/>
      <c r="B23" s="179"/>
      <c r="C23" s="176"/>
      <c r="D23" s="179"/>
      <c r="E23" s="201"/>
      <c r="F23" s="107">
        <v>2.1</v>
      </c>
      <c r="G23" s="144">
        <v>2.1</v>
      </c>
      <c r="H23" s="106">
        <v>2.1</v>
      </c>
      <c r="I23" s="107"/>
      <c r="J23" s="201"/>
      <c r="K23" s="178"/>
      <c r="L23" s="179"/>
      <c r="M23" s="177"/>
      <c r="N23" s="177"/>
      <c r="O23" s="176"/>
      <c r="P23" s="179"/>
      <c r="Q23" s="177"/>
      <c r="R23" s="177"/>
      <c r="S23" s="176"/>
      <c r="T23" s="167" t="str">
        <f t="shared" si="1"/>
        <v/>
      </c>
    </row>
    <row r="24">
      <c r="A24" s="202"/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</row>
    <row r="25">
      <c r="A25" s="180" t="s">
        <v>141</v>
      </c>
      <c r="B25" s="203">
        <f t="shared" ref="B25:C25" si="2">MAX(B2:B23)/100</f>
        <v>0</v>
      </c>
      <c r="C25" s="203">
        <f t="shared" si="2"/>
        <v>0</v>
      </c>
      <c r="D25" s="203">
        <f t="shared" ref="D25:K25" si="3">SUM(D2:D23)/100+$C$25</f>
        <v>0</v>
      </c>
      <c r="E25" s="203">
        <f t="shared" si="3"/>
        <v>0.021</v>
      </c>
      <c r="F25" s="203">
        <f t="shared" si="3"/>
        <v>0.471</v>
      </c>
      <c r="G25" s="203">
        <f t="shared" si="3"/>
        <v>0.021</v>
      </c>
      <c r="H25" s="203">
        <f t="shared" si="3"/>
        <v>0.471</v>
      </c>
      <c r="I25" s="203">
        <f t="shared" si="3"/>
        <v>0.065</v>
      </c>
      <c r="J25" s="203">
        <f t="shared" si="3"/>
        <v>0.022</v>
      </c>
      <c r="K25" s="203">
        <f t="shared" si="3"/>
        <v>0.022</v>
      </c>
      <c r="L25" s="203">
        <f t="shared" ref="L25:S25" si="4">SUM(L2:L23)/100</f>
        <v>0</v>
      </c>
      <c r="M25" s="203">
        <f t="shared" si="4"/>
        <v>0</v>
      </c>
      <c r="N25" s="203">
        <f t="shared" si="4"/>
        <v>0.0285</v>
      </c>
      <c r="O25" s="203">
        <f t="shared" si="4"/>
        <v>0.0075</v>
      </c>
      <c r="P25" s="203">
        <f t="shared" si="4"/>
        <v>0.0425</v>
      </c>
      <c r="Q25" s="203">
        <f t="shared" si="4"/>
        <v>0</v>
      </c>
      <c r="R25" s="203">
        <f t="shared" si="4"/>
        <v>0.0215</v>
      </c>
      <c r="S25" s="204">
        <f t="shared" si="4"/>
        <v>0.0075</v>
      </c>
      <c r="T25" s="167" t="str">
        <f>IF(COUNTIF(T2:T23, "확인요망")&gt;0, "확인요망", "")</f>
        <v/>
      </c>
    </row>
    <row r="26">
      <c r="A26" s="202"/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</row>
    <row r="27">
      <c r="A27" s="202"/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5" t="s">
        <v>134</v>
      </c>
      <c r="N27" s="146"/>
      <c r="O27" s="118"/>
      <c r="P27" s="206">
        <f>'종합'!K44</f>
        <v>3463303.88</v>
      </c>
      <c r="Q27" s="146"/>
      <c r="R27" s="146"/>
      <c r="S27" s="118"/>
    </row>
    <row r="28">
      <c r="A28" s="202"/>
      <c r="B28" s="20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148"/>
      <c r="N28" s="92"/>
      <c r="O28" s="93"/>
      <c r="P28" s="148"/>
      <c r="Q28" s="92"/>
      <c r="R28" s="92"/>
      <c r="S28" s="93"/>
    </row>
    <row r="29">
      <c r="A29" s="202"/>
      <c r="B29" s="202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</row>
    <row r="30">
      <c r="A30" s="202"/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</row>
    <row r="31">
      <c r="A31" s="202"/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</row>
    <row r="32">
      <c r="A32" s="202"/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</row>
    <row r="33">
      <c r="A33" s="202"/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</row>
  </sheetData>
  <mergeCells count="8">
    <mergeCell ref="A2:A4"/>
    <mergeCell ref="A9:A11"/>
    <mergeCell ref="A12:A14"/>
    <mergeCell ref="A15:A17"/>
    <mergeCell ref="A18:A20"/>
    <mergeCell ref="A21:A23"/>
    <mergeCell ref="M27:O28"/>
    <mergeCell ref="P27:S28"/>
  </mergeCells>
  <conditionalFormatting sqref="B25:S25">
    <cfRule type="expression" dxfId="2" priority="1">
      <formula>$T$25&lt;&gt;""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9" width="7.63"/>
  </cols>
  <sheetData>
    <row r="1">
      <c r="A1" s="25" t="s">
        <v>228</v>
      </c>
      <c r="B1" s="25" t="s">
        <v>229</v>
      </c>
      <c r="C1" s="25" t="s">
        <v>230</v>
      </c>
      <c r="D1" s="25" t="s">
        <v>231</v>
      </c>
      <c r="E1" s="25" t="s">
        <v>232</v>
      </c>
      <c r="F1" s="25" t="s">
        <v>233</v>
      </c>
      <c r="G1" s="25" t="s">
        <v>234</v>
      </c>
      <c r="H1" s="25" t="s">
        <v>235</v>
      </c>
      <c r="I1" s="25" t="s">
        <v>236</v>
      </c>
      <c r="J1" s="25" t="s">
        <v>237</v>
      </c>
      <c r="K1" s="25" t="s">
        <v>238</v>
      </c>
      <c r="L1" s="25" t="s">
        <v>239</v>
      </c>
      <c r="M1" s="25" t="s">
        <v>240</v>
      </c>
      <c r="N1" s="25" t="s">
        <v>241</v>
      </c>
      <c r="O1" s="25" t="s">
        <v>242</v>
      </c>
      <c r="P1" s="25" t="s">
        <v>243</v>
      </c>
      <c r="Q1" s="25" t="s">
        <v>244</v>
      </c>
      <c r="R1" s="25" t="s">
        <v>245</v>
      </c>
      <c r="S1" s="25" t="s">
        <v>246</v>
      </c>
      <c r="T1" s="25" t="s">
        <v>247</v>
      </c>
      <c r="U1" s="25" t="s">
        <v>248</v>
      </c>
      <c r="V1" s="25" t="s">
        <v>249</v>
      </c>
      <c r="W1" s="25" t="s">
        <v>250</v>
      </c>
      <c r="X1" s="25" t="s">
        <v>251</v>
      </c>
      <c r="Y1" s="25" t="s">
        <v>252</v>
      </c>
      <c r="Z1" s="25" t="s">
        <v>253</v>
      </c>
      <c r="AA1" s="25" t="s">
        <v>118</v>
      </c>
      <c r="AB1" s="1"/>
      <c r="AC1" s="25" t="s">
        <v>254</v>
      </c>
      <c r="AD1" s="1"/>
      <c r="AE1" s="1"/>
      <c r="AF1" s="1"/>
      <c r="AG1" s="1"/>
      <c r="AH1" s="1"/>
      <c r="AI1" s="1"/>
      <c r="AJ1" s="1"/>
    </row>
    <row r="2">
      <c r="A2" s="207" t="s">
        <v>255</v>
      </c>
      <c r="B2" s="1" t="str">
        <f>IF(COUNTIF('종합'!$B$11:$G$15, A2) &gt; 0, TRUE, "")</f>
        <v/>
      </c>
      <c r="C2" s="208">
        <v>1.0</v>
      </c>
      <c r="D2" s="208">
        <v>0.24</v>
      </c>
      <c r="E2" s="1"/>
      <c r="F2" s="1"/>
      <c r="G2" s="1"/>
      <c r="H2" s="1"/>
      <c r="I2" s="1"/>
      <c r="J2" s="1"/>
      <c r="K2" s="1"/>
      <c r="L2" s="1"/>
      <c r="M2" s="1"/>
      <c r="N2" s="1"/>
      <c r="O2" s="25"/>
      <c r="P2" s="25"/>
      <c r="Q2" s="1"/>
      <c r="R2" s="1"/>
      <c r="S2" s="1"/>
      <c r="T2" s="1"/>
      <c r="U2" s="1"/>
      <c r="V2" s="1"/>
      <c r="W2" s="25"/>
      <c r="X2" s="25"/>
      <c r="Y2" s="25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207" t="s">
        <v>256</v>
      </c>
      <c r="B3" s="1" t="str">
        <f>IF(COUNTIF('종합'!$B$11:$G$15, A3) &gt; 0, TRUE, "")</f>
        <v/>
      </c>
      <c r="C3" s="208">
        <v>1.0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5"/>
      <c r="P3" s="208">
        <f t="array" ref="P3">0.18+IF(SUMPRODUCT(('종합'!$B$11:$G$15=INDIRECT("A"&amp;ROW())) * ('종합'!$C$11:$H$15="초월+")), 0.02, 0)+IF(SUMPRODUCT(('종합'!$B$11:$G$15=INDIRECT("A"&amp;ROW())) * ('종합'!$C$11:$H$15="초월++")), 0.04, 0)</f>
        <v>0.18</v>
      </c>
      <c r="Q3" s="1"/>
      <c r="R3" s="1"/>
      <c r="S3" s="1"/>
      <c r="T3" s="1"/>
      <c r="U3" s="1"/>
      <c r="V3" s="1"/>
      <c r="W3" s="25"/>
      <c r="X3" s="25"/>
      <c r="Y3" s="208">
        <f t="shared" ref="Y3:Y10" si="1">3.6/(10/C3)</f>
        <v>0.36</v>
      </c>
      <c r="Z3" s="1"/>
      <c r="AA3" s="1"/>
      <c r="AB3" s="1"/>
      <c r="AC3" s="208">
        <v>0.4</v>
      </c>
      <c r="AD3" s="1"/>
      <c r="AE3" s="1"/>
      <c r="AF3" s="1"/>
      <c r="AG3" s="1"/>
      <c r="AH3" s="1"/>
      <c r="AI3" s="1"/>
      <c r="AJ3" s="1"/>
    </row>
    <row r="4">
      <c r="A4" s="207" t="s">
        <v>257</v>
      </c>
      <c r="B4" s="1" t="str">
        <f>IF(COUNTIF('종합'!$B$11:$G$15, A4) &gt; 0, TRUE, "")</f>
        <v/>
      </c>
      <c r="C4" s="208">
        <v>1.0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08">
        <f t="array" ref="O4">0.18+IF(SUMPRODUCT(('종합'!$B$11:$G$15=INDIRECT("A"&amp;ROW())) * ('종합'!$C$11:$H$15="초월+")), 0.02, 0)+IF(SUMPRODUCT(('종합'!$B$11:$G$15=INDIRECT("A"&amp;ROW())) * ('종합'!$C$11:$H$15="초월++")), 0.04, 0)</f>
        <v>0.18</v>
      </c>
      <c r="P4" s="1"/>
      <c r="Q4" s="1"/>
      <c r="R4" s="1"/>
      <c r="S4" s="1"/>
      <c r="T4" s="1"/>
      <c r="U4" s="1"/>
      <c r="V4" s="1"/>
      <c r="W4" s="25"/>
      <c r="X4" s="25"/>
      <c r="Y4" s="208">
        <f t="shared" si="1"/>
        <v>0.36</v>
      </c>
      <c r="Z4" s="1"/>
      <c r="AA4" s="1"/>
      <c r="AB4" s="1"/>
      <c r="AC4" s="208">
        <v>0.4</v>
      </c>
      <c r="AD4" s="1"/>
      <c r="AE4" s="1"/>
      <c r="AF4" s="1"/>
      <c r="AG4" s="1"/>
      <c r="AH4" s="1"/>
      <c r="AI4" s="1"/>
      <c r="AJ4" s="1"/>
    </row>
    <row r="5">
      <c r="A5" s="207" t="s">
        <v>258</v>
      </c>
      <c r="B5" s="1" t="str">
        <f>IF(COUNTIF('종합'!$B$11:$G$15, A5) &gt; 0, TRUE, "")</f>
        <v/>
      </c>
      <c r="C5" s="208">
        <v>1.0</v>
      </c>
      <c r="D5" s="1"/>
      <c r="E5" s="1"/>
      <c r="F5" s="1"/>
      <c r="G5" s="1"/>
      <c r="H5" s="208">
        <f t="array" ref="H5">0.2+IF(SUMPRODUCT(('종합'!$B$11:$G$15=INDIRECT("A"&amp;ROW())) * ('종합'!$C$11:$H$15="초월+")), 0.02, 0)+IF(SUMPRODUCT(('종합'!$B$11:$G$15=INDIRECT("A"&amp;ROW())) * ('종합'!$C$11:$H$15="초월++")), 0.04, 0)</f>
        <v>0.2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5"/>
      <c r="X5" s="25"/>
      <c r="Y5" s="208">
        <f t="shared" si="1"/>
        <v>0.36</v>
      </c>
      <c r="Z5" s="1"/>
      <c r="AA5" s="1"/>
      <c r="AB5" s="1"/>
      <c r="AC5" s="208">
        <v>0.4</v>
      </c>
      <c r="AD5" s="1"/>
      <c r="AE5" s="1"/>
      <c r="AF5" s="1"/>
      <c r="AG5" s="1"/>
      <c r="AH5" s="1"/>
      <c r="AI5" s="1"/>
      <c r="AJ5" s="1"/>
    </row>
    <row r="6">
      <c r="A6" s="207" t="s">
        <v>259</v>
      </c>
      <c r="B6" s="1" t="str">
        <f>IF(COUNTIF('종합'!$B$11:$G$15, A6) &gt; 0, TRUE, "")</f>
        <v/>
      </c>
      <c r="C6" s="208">
        <v>1.0</v>
      </c>
      <c r="D6" s="1"/>
      <c r="E6" s="1"/>
      <c r="F6" s="1"/>
      <c r="G6" s="1"/>
      <c r="H6" s="1"/>
      <c r="I6" s="208">
        <f t="array" ref="I6">0.2+IF(SUMPRODUCT(('종합'!$B$11:$G$15=INDIRECT("A"&amp;ROW())) * ('종합'!$C$11:$H$15="초월+")), 0.02, 0)+IF(SUMPRODUCT(('종합'!$B$11:$G$15=INDIRECT("A"&amp;ROW())) * ('종합'!$C$11:$H$15="초월++")), 0.04, 0)</f>
        <v>0.2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5"/>
      <c r="X6" s="25"/>
      <c r="Y6" s="208">
        <f t="shared" si="1"/>
        <v>0.36</v>
      </c>
      <c r="Z6" s="1"/>
      <c r="AA6" s="1"/>
      <c r="AB6" s="1"/>
      <c r="AC6" s="208">
        <v>0.4</v>
      </c>
      <c r="AD6" s="1"/>
      <c r="AE6" s="1"/>
      <c r="AF6" s="1"/>
      <c r="AG6" s="1"/>
      <c r="AH6" s="1"/>
      <c r="AI6" s="1"/>
      <c r="AJ6" s="1"/>
    </row>
    <row r="7">
      <c r="A7" s="207" t="s">
        <v>260</v>
      </c>
      <c r="B7" s="1" t="str">
        <f>IF(COUNTIF('종합'!$B$11:$G$15, A7) &gt; 0, TRUE, "")</f>
        <v/>
      </c>
      <c r="C7" s="208">
        <v>1.0</v>
      </c>
      <c r="D7" s="1"/>
      <c r="E7" s="1"/>
      <c r="F7" s="1"/>
      <c r="G7" s="1"/>
      <c r="H7" s="1"/>
      <c r="I7" s="1"/>
      <c r="J7" s="1"/>
      <c r="K7" s="208">
        <f t="array" ref="K7">0.18+IF(SUMPRODUCT(('종합'!$B$11:$G$15=INDIRECT("A"&amp;ROW())) * ('종합'!$C$11:$H$15="초월+")), 0.02, 0)+IF(SUMPRODUCT(('종합'!$B$11:$G$15=INDIRECT("A"&amp;ROW())) * ('종합'!$C$11:$H$15="초월++")), 0.04, 0)</f>
        <v>0.18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5"/>
      <c r="X7" s="25"/>
      <c r="Y7" s="208">
        <f t="shared" si="1"/>
        <v>0.36</v>
      </c>
      <c r="Z7" s="1"/>
      <c r="AA7" s="1"/>
      <c r="AB7" s="1"/>
      <c r="AC7" s="208">
        <v>0.4</v>
      </c>
      <c r="AD7" s="1"/>
      <c r="AE7" s="1"/>
      <c r="AF7" s="1"/>
      <c r="AG7" s="1"/>
      <c r="AH7" s="1"/>
      <c r="AI7" s="1"/>
      <c r="AJ7" s="1"/>
    </row>
    <row r="8">
      <c r="A8" s="207" t="s">
        <v>261</v>
      </c>
      <c r="B8" s="1" t="str">
        <f>IF(COUNTIF('종합'!$B$11:$G$15, A8) &gt; 0, TRUE, "")</f>
        <v/>
      </c>
      <c r="C8" s="208">
        <v>1.0</v>
      </c>
      <c r="D8" s="1"/>
      <c r="E8" s="25"/>
      <c r="F8" s="208">
        <f t="array" ref="F8">0.1+IF(SUMPRODUCT(('종합'!$B$11:$G$15=INDIRECT("A"&amp;ROW())) * ('종합'!$C$11:$H$15="초월+")), 0.02, 0)+IF(SUMPRODUCT(('종합'!$B$11:$G$15=INDIRECT("A"&amp;ROW())) * ('종합'!$C$11:$H$15="초월++")), 0.04, 0)</f>
        <v>0.1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5"/>
      <c r="X8" s="25"/>
      <c r="Y8" s="208">
        <f t="shared" si="1"/>
        <v>0.36</v>
      </c>
      <c r="Z8" s="1"/>
      <c r="AA8" s="1"/>
      <c r="AB8" s="1"/>
      <c r="AC8" s="208">
        <v>0.4</v>
      </c>
      <c r="AD8" s="1"/>
      <c r="AE8" s="1"/>
      <c r="AF8" s="1"/>
      <c r="AG8" s="1"/>
      <c r="AH8" s="1"/>
      <c r="AI8" s="1"/>
      <c r="AJ8" s="1"/>
    </row>
    <row r="9">
      <c r="A9" s="207" t="s">
        <v>262</v>
      </c>
      <c r="B9" s="1" t="str">
        <f>IF(COUNTIF('종합'!$B$11:$G$15, A9) &gt; 0, TRUE, "")</f>
        <v/>
      </c>
      <c r="C9" s="208">
        <v>1.0</v>
      </c>
      <c r="D9" s="1"/>
      <c r="E9" s="25"/>
      <c r="F9" s="208">
        <f t="array" ref="F9">0.2+IF(SUMPRODUCT(('종합'!$B$11:$G$15=INDIRECT("A"&amp;ROW())) * ('종합'!$C$11:$H$15="초월+")), 0.02, 0)+IF(SUMPRODUCT(('종합'!$B$11:$G$15=INDIRECT("A"&amp;ROW())) * ('종합'!$C$11:$H$15="초월++")), 0.04, 0)</f>
        <v>0.2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5"/>
      <c r="X9" s="25"/>
      <c r="Y9" s="208">
        <f t="shared" si="1"/>
        <v>0.36</v>
      </c>
      <c r="Z9" s="1"/>
      <c r="AA9" s="1"/>
      <c r="AB9" s="1"/>
      <c r="AC9" s="208">
        <v>0.4</v>
      </c>
      <c r="AD9" s="1"/>
      <c r="AE9" s="1"/>
      <c r="AF9" s="1"/>
      <c r="AG9" s="1"/>
      <c r="AH9" s="1"/>
      <c r="AI9" s="1"/>
      <c r="AJ9" s="1"/>
    </row>
    <row r="10">
      <c r="A10" s="207" t="s">
        <v>263</v>
      </c>
      <c r="B10" s="1" t="str">
        <f>IF(COUNTIF('종합'!$B$11:$G$15, A10) &gt; 0, TRUE, "")</f>
        <v/>
      </c>
      <c r="C10" s="208">
        <v>1.0</v>
      </c>
      <c r="D10" s="208">
        <f t="array" ref="D10">0.2+IF(SUMPRODUCT(('종합'!$B$11:$G$15=INDIRECT("A"&amp;ROW())) * ('종합'!$C$11:$H$15="초월+")), 0.02, 0)+IF(SUMPRODUCT(('종합'!$B$11:$G$15=INDIRECT("A"&amp;ROW())) * ('종합'!$C$11:$H$15="초월++")), 0.04, 0)</f>
        <v>0.2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5"/>
      <c r="X10" s="25"/>
      <c r="Y10" s="208">
        <f t="shared" si="1"/>
        <v>0.36</v>
      </c>
      <c r="Z10" s="1"/>
      <c r="AA10" s="1"/>
      <c r="AB10" s="1"/>
      <c r="AC10" s="208">
        <v>0.4</v>
      </c>
      <c r="AD10" s="1"/>
      <c r="AE10" s="1"/>
      <c r="AF10" s="1"/>
      <c r="AG10" s="1"/>
      <c r="AH10" s="1"/>
      <c r="AI10" s="1"/>
      <c r="AJ10" s="1"/>
    </row>
    <row r="11">
      <c r="A11" s="207" t="s">
        <v>264</v>
      </c>
      <c r="B11" s="1" t="str">
        <f>IF(COUNTIF('종합'!$B$11:$G$15, A11) &gt; 0, TRUE, "")</f>
        <v/>
      </c>
      <c r="C11" s="208">
        <v>1.0</v>
      </c>
      <c r="D11" s="1"/>
      <c r="E11" s="25"/>
      <c r="F11" s="208">
        <f t="array" ref="F11">0.33+IF(SUMPRODUCT(('종합'!$B$11:$G$15=INDIRECT("A"&amp;ROW())) * ('종합'!$C$11:$H$15="초월+")), 0.02, 0)+IF(SUMPRODUCT(('종합'!$B$11:$G$15=INDIRECT("A"&amp;ROW())) * ('종합'!$C$11:$H$15="초월++")), 0.04, 0)</f>
        <v>0.33</v>
      </c>
      <c r="G11" s="1"/>
      <c r="H11" s="1"/>
      <c r="I11" s="1"/>
      <c r="J11" s="1"/>
      <c r="K11" s="1"/>
      <c r="L11" s="25"/>
      <c r="M11" s="208">
        <f t="array" ref="M11">IF('방어구룬'!B68, 0, -0.1+IF(SUMPRODUCT(('종합'!$B$11:$G$15=INDIRECT("A"&amp;ROW())) * ('종합'!$C$11:$H$15="초월+")), 0.02, 0)+IF(SUMPRODUCT(('종합'!$B$11:$G$15=INDIRECT("A"&amp;ROW())) * ('종합'!$C$11:$H$15="초월++")), 0.04, 0))</f>
        <v>-0.1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25" t="s">
        <v>265</v>
      </c>
      <c r="AB11" s="1"/>
      <c r="AC11" s="1"/>
      <c r="AD11" s="1"/>
      <c r="AE11" s="1"/>
      <c r="AF11" s="1"/>
      <c r="AG11" s="1"/>
      <c r="AH11" s="1"/>
      <c r="AI11" s="1"/>
      <c r="AJ11" s="1"/>
    </row>
    <row r="12">
      <c r="A12" s="207" t="s">
        <v>266</v>
      </c>
      <c r="B12" s="1" t="str">
        <f>IF(COUNTIF('종합'!$B$11:$G$15, A12) &gt; 0, TRUE, "")</f>
        <v/>
      </c>
      <c r="C12" s="208">
        <v>1.0</v>
      </c>
      <c r="D12" s="208">
        <f t="array" ref="D12">0.33+IF(SUMPRODUCT(('종합'!$B$11:$G$15=INDIRECT("A"&amp;ROW())) * ('종합'!$C$11:$H$15="초월+")), 0.015, 0)+IF(SUMPRODUCT(('종합'!$B$11:$G$15=INDIRECT("A"&amp;ROW())) * ('종합'!$C$11:$H$15="초월++")), 0.03, 0)</f>
        <v>0.33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208">
        <f t="array" ref="S12">IF('방어구룬'!B68, 0, -0.09+IF(SUMPRODUCT(('종합'!$B$11:$G$15=INDIRECT("A"&amp;ROW())) * ('종합'!$C$11:$H$15="초월+")), 0.02, 0)+IF(SUMPRODUCT(('종합'!$B$11:$G$15=INDIRECT("A"&amp;ROW())) * ('종합'!$C$11:$H$15="초월++")), 0.04, 0))</f>
        <v>-0.09</v>
      </c>
      <c r="T12" s="1"/>
      <c r="U12" s="1"/>
      <c r="V12" s="1"/>
      <c r="W12" s="1"/>
      <c r="X12" s="1"/>
      <c r="Y12" s="1"/>
      <c r="Z12" s="1"/>
      <c r="AA12" s="25" t="s">
        <v>265</v>
      </c>
      <c r="AB12" s="1"/>
      <c r="AC12" s="1"/>
      <c r="AD12" s="1"/>
      <c r="AE12" s="1"/>
      <c r="AF12" s="1"/>
      <c r="AG12" s="1"/>
      <c r="AH12" s="1"/>
      <c r="AI12" s="1"/>
      <c r="AJ12" s="1"/>
    </row>
    <row r="13">
      <c r="A13" s="207" t="s">
        <v>40</v>
      </c>
      <c r="B13" s="209" t="b">
        <f>IF(COUNTIF('종합'!$B$11:$G$15, A13) &gt; 0, TRUE, "")</f>
        <v>1</v>
      </c>
      <c r="C13" s="210">
        <v>1.0</v>
      </c>
      <c r="D13" s="210">
        <f t="array" ref="D13">0.19+IF(SUMPRODUCT(('종합'!$B$11:$G$15=INDIRECT("A"&amp;ROW())) * ('종합'!$C$11:$H$15="초월+")), 0.02, 0)+IF(SUMPRODUCT(('종합'!$B$11:$G$15=INDIRECT("A"&amp;ROW())) * ('종합'!$C$11:$H$15="초월++")), 0.04, 0)</f>
        <v>0.23</v>
      </c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2" t="s">
        <v>267</v>
      </c>
      <c r="AB13" s="211"/>
      <c r="AC13" s="211"/>
      <c r="AD13" s="1"/>
      <c r="AE13" s="1"/>
      <c r="AF13" s="1"/>
      <c r="AG13" s="1"/>
      <c r="AH13" s="1"/>
      <c r="AI13" s="1"/>
      <c r="AJ13" s="1"/>
    </row>
    <row r="14">
      <c r="A14" s="213" t="s">
        <v>268</v>
      </c>
      <c r="B14" s="1" t="str">
        <f>IF(COUNTIF('종합'!$B$11:$G$15, A14) &gt; 0, TRUE, "")</f>
        <v/>
      </c>
      <c r="C14" s="208">
        <v>1.0</v>
      </c>
      <c r="D14" s="208">
        <v>0.11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25" t="s">
        <v>269</v>
      </c>
      <c r="AB14" s="1"/>
      <c r="AC14" s="1"/>
      <c r="AD14" s="1"/>
      <c r="AE14" s="1"/>
      <c r="AF14" s="1"/>
      <c r="AG14" s="1"/>
      <c r="AH14" s="1"/>
      <c r="AI14" s="1"/>
      <c r="AJ14" s="1"/>
    </row>
    <row r="15">
      <c r="A15" s="207" t="s">
        <v>270</v>
      </c>
      <c r="B15" s="1" t="str">
        <f>IF(COUNTIF('종합'!$B$11:$G$15, A15) &gt; 0, TRUE, "")</f>
        <v/>
      </c>
      <c r="C15" s="208">
        <v>1.0</v>
      </c>
      <c r="D15" s="208">
        <f t="array" ref="D15">0.2+IF(SUMPRODUCT(('종합'!$B$11:$G$15=INDIRECT("A"&amp;ROW())) * ('종합'!$C$11:$H$15="초월+")), 0.02, 0)+IF(SUMPRODUCT(('종합'!$B$11:$G$15=INDIRECT("A"&amp;ROW())) * ('종합'!$C$11:$H$15="초월++")), 0.04, 0)</f>
        <v>0.2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208">
        <v>0.25</v>
      </c>
      <c r="R15" s="1"/>
      <c r="S15" s="1"/>
      <c r="T15" s="25"/>
      <c r="U15" s="1"/>
      <c r="V15" s="1"/>
      <c r="W15" s="1"/>
      <c r="X15" s="1"/>
      <c r="Y15" s="1"/>
      <c r="Z15" s="25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>
      <c r="A16" s="207" t="s">
        <v>271</v>
      </c>
      <c r="B16" s="1" t="str">
        <f>IF(COUNTIF('종합'!$B$11:$G$15, A16) &gt; 0, TRUE, "")</f>
        <v/>
      </c>
      <c r="C16" s="208">
        <v>1.0</v>
      </c>
      <c r="D16" s="1"/>
      <c r="E16" s="25"/>
      <c r="F16" s="208">
        <f t="array" ref="F16">IF('방어구룬'!B68, 0, -0.1+IF(SUMPRODUCT(('종합'!$B$11:$G$15=INDIRECT("A"&amp;ROW())) * ('종합'!$C$11:$H$15="초월+")), 0.02, 0)+IF(SUMPRODUCT(('종합'!$B$11:$G$15=INDIRECT("A"&amp;ROW())) * ('종합'!$C$11:$H$15="초월++")), 0.04, 0))</f>
        <v>-0.1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208">
        <f t="array" ref="S16">0.29+IF(SUMPRODUCT(('종합'!$B$11:$G$15=INDIRECT("A"&amp;ROW())) * ('종합'!$C$11:$H$15="초월+")), 0.02, 0)+IF(SUMPRODUCT(('종합'!$B$11:$G$15=INDIRECT("A"&amp;ROW())) * ('종합'!$C$11:$H$15="초월++")), 0.04, 0)</f>
        <v>0.29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>
      <c r="A17" s="207" t="s">
        <v>272</v>
      </c>
      <c r="B17" s="1" t="str">
        <f>IF(COUNTIF('종합'!$B$11:$G$15, A17) &gt; 0, TRUE, "")</f>
        <v/>
      </c>
      <c r="C17" s="208">
        <v>1.0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08">
        <v>0.1</v>
      </c>
      <c r="V17" s="1"/>
      <c r="W17" s="1"/>
      <c r="X17" s="1"/>
      <c r="Y17" s="1"/>
      <c r="Z17" s="1"/>
      <c r="AA17" s="25" t="s">
        <v>273</v>
      </c>
      <c r="AB17" s="151">
        <f t="array" ref="AB17">1.52+IF(SUMPRODUCT(('종합'!$B$11:$G$15=INDIRECT("A"&amp;ROW())) * ('종합'!$C$11:$H$15="초월+")), 0.11, 0)+IF(SUMPRODUCT(('종합'!$B$11:$G$15=INDIRECT("A"&amp;ROW())) * ('종합'!$C$11:$H$15="초월++")), 0.21, 0)</f>
        <v>1.52</v>
      </c>
      <c r="AC17" s="1"/>
      <c r="AD17" s="1"/>
      <c r="AE17" s="1"/>
      <c r="AF17" s="1"/>
      <c r="AG17" s="1"/>
      <c r="AH17" s="1"/>
      <c r="AI17" s="1"/>
      <c r="AJ17" s="1"/>
    </row>
    <row r="18">
      <c r="A18" s="207" t="s">
        <v>274</v>
      </c>
      <c r="B18" s="1" t="str">
        <f>IF(COUNTIF('종합'!$B$11:$G$15, A18) &gt; 0, TRUE, "")</f>
        <v/>
      </c>
      <c r="C18" s="208">
        <v>1.0</v>
      </c>
      <c r="D18" s="208">
        <f t="array" ref="D18">0.18+IF(SUMPRODUCT(('종합'!$B$11:$G$15=INDIRECT("A"&amp;ROW())) * ('종합'!$C$11:$H$15="초월+")), 0.02, 0)+IF(SUMPRODUCT(('종합'!$B$11:$G$15=INDIRECT("A"&amp;ROW())) * ('종합'!$C$11:$H$15="초월++")), 0.04, 0)</f>
        <v>0.18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208">
        <v>0.48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>
      <c r="A19" s="207" t="s">
        <v>275</v>
      </c>
      <c r="B19" s="1" t="str">
        <f>IF(COUNTIF('종합'!$B$11:$G$15, A19) &gt; 0, TRUE, "")</f>
        <v/>
      </c>
      <c r="C19" s="208">
        <f>IF('종합'!C3&lt;=0, 0, LET(
    R, ('종합'!K39 + '종합'!K40),
    T, '종합'!C3,
    D, 10,
    M, 10,
    IF(R&lt;=0, 0, LET(
        SPS, IF('방어구룬'!B49=TRUE, R * 2, R),
        SSS, MIN(SPS * D, M),
        T_ramp, SSS / SPS,
        IF(T &lt;= T_ramp,
            0.5 * SPS * T,
            (SSS * (T - 0.5 * T_ramp)) / T
        )
    ))
))/10</f>
        <v>0.8879236072</v>
      </c>
      <c r="D19" s="1"/>
      <c r="E19" s="151">
        <f t="array" ref="E19">(0.2+IF(SUMPRODUCT(('종합'!$B$11:$G$15=INDIRECT("A"&amp;ROW())) * ('종합'!$C$11:$H$15="초월+")), 0.02, 0)+IF(SUMPRODUCT(('종합'!$B$11:$G$15=INDIRECT("A"&amp;ROW())) * ('종합'!$C$11:$H$15="초월++")), 0.04, 0))*C19</f>
        <v>0.1775847214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208">
        <f>0.1*C19</f>
        <v>0.08879236072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25" t="s">
        <v>276</v>
      </c>
      <c r="AB19" s="1"/>
      <c r="AC19" s="1"/>
      <c r="AD19" s="1"/>
      <c r="AE19" s="1"/>
      <c r="AF19" s="1"/>
      <c r="AG19" s="1"/>
      <c r="AH19" s="1"/>
      <c r="AI19" s="1"/>
      <c r="AJ19" s="1"/>
    </row>
    <row r="20">
      <c r="A20" s="207" t="s">
        <v>277</v>
      </c>
      <c r="B20" s="1" t="str">
        <f>IF(COUNTIF('종합'!$B$11:$G$15, A20) &gt; 0, TRUE, "")</f>
        <v/>
      </c>
      <c r="C20" s="208">
        <v>1.0</v>
      </c>
      <c r="D20" s="208">
        <f t="array" ref="D20">0.17+IF(SUMPRODUCT(('종합'!$B$11:$G$15=INDIRECT("A"&amp;ROW())) * ('종합'!$C$11:$H$15="초월+")), 0.02, 0)+IF(SUMPRODUCT(('종합'!$B$11:$G$15=INDIRECT("A"&amp;ROW())) * ('종합'!$C$11:$H$15="초월++")), 0.04, 0)</f>
        <v>0.17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08">
        <v>0.3</v>
      </c>
      <c r="V20" s="208">
        <v>0.3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>
      <c r="A21" s="207" t="s">
        <v>278</v>
      </c>
      <c r="B21" s="1" t="str">
        <f>IF(COUNTIF('종합'!$B$11:$G$15, A21) &gt; 0, TRUE, "")</f>
        <v/>
      </c>
      <c r="C21" s="208">
        <v>0.6</v>
      </c>
      <c r="D21" s="208">
        <f t="array" ref="D21">0.2+IF(SUMPRODUCT(('종합'!$B$11:$G$15=INDIRECT("A"&amp;ROW())) * ('종합'!$C$11:$H$15="초월+")), 0.02, 0)+IF(SUMPRODUCT(('종합'!$B$11:$G$15=INDIRECT("A"&amp;ROW())) * ('종합'!$C$11:$H$15="초월++")), 0.04, 0)</f>
        <v>0.2</v>
      </c>
      <c r="E21" s="151">
        <f>0.2*C21</f>
        <v>0.12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>
      <c r="A22" s="207" t="s">
        <v>279</v>
      </c>
      <c r="B22" s="1" t="str">
        <f>IF(COUNTIF('종합'!$B$11:$G$15, A22) &gt; 0, TRUE, "")</f>
        <v/>
      </c>
      <c r="C22" s="208">
        <v>1.0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>
      <c r="A23" s="207" t="s">
        <v>280</v>
      </c>
      <c r="B23" s="1" t="str">
        <f>IF(COUNTIF('종합'!$B$11:$G$15, A23) &gt; 0, TRUE, "")</f>
        <v/>
      </c>
      <c r="C23" s="208">
        <v>0.1</v>
      </c>
      <c r="D23" s="208">
        <f t="array" ref="D23">0.24+IF(SUMPRODUCT(('종합'!$B$11:$G$15=INDIRECT("A"&amp;ROW())) * ('종합'!$C$11:$H$15="초월+")), 0.02, 0)+IF(SUMPRODUCT(('종합'!$B$11:$G$15=INDIRECT("A"&amp;ROW())) * ('종합'!$C$11:$H$15="초월++")), 0.04, 0)</f>
        <v>0.24</v>
      </c>
      <c r="E23" s="151">
        <f>0.2*C23</f>
        <v>0.02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25" t="s">
        <v>281</v>
      </c>
      <c r="AB23" s="1"/>
      <c r="AC23" s="1"/>
      <c r="AD23" s="1"/>
      <c r="AE23" s="1"/>
      <c r="AF23" s="1"/>
      <c r="AG23" s="1"/>
      <c r="AH23" s="1"/>
      <c r="AI23" s="1"/>
      <c r="AJ23" s="1"/>
    </row>
    <row r="24">
      <c r="A24" s="207" t="s">
        <v>282</v>
      </c>
      <c r="B24" s="1" t="str">
        <f>IF(COUNTIF('종합'!$B$11:$G$15, A24) &gt; 0, TRUE, "")</f>
        <v/>
      </c>
      <c r="C24" s="208">
        <v>1.0</v>
      </c>
      <c r="D24" s="208">
        <f t="array" ref="D24">0.043+IF(SUMPRODUCT(('종합'!$B$11:$G$15=INDIRECT("A"&amp;ROW())) * ('종합'!$C$11:$H$15="초월+")), 0.02, 0)+IF(SUMPRODUCT(('종합'!$B$11:$G$15=INDIRECT("A"&amp;ROW())) * ('종합'!$C$11:$H$15="초월++")), 0.04, 0)</f>
        <v>0.043</v>
      </c>
      <c r="E24" s="1"/>
      <c r="F24" s="1"/>
      <c r="G24" s="1"/>
      <c r="H24" s="208">
        <v>0.043</v>
      </c>
      <c r="I24" s="208">
        <v>0.043</v>
      </c>
      <c r="J24" s="1"/>
      <c r="K24" s="208">
        <v>0.043</v>
      </c>
      <c r="L24" s="208">
        <v>0.043</v>
      </c>
      <c r="M24" s="208">
        <v>0.043</v>
      </c>
      <c r="N24" s="208">
        <v>0.043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>
      <c r="A25" s="214" t="s">
        <v>283</v>
      </c>
      <c r="B25" s="1" t="str">
        <f>IF(COUNTIF('종합'!$B$11:$G$15, A25) &gt; 0, TRUE, "")</f>
        <v/>
      </c>
      <c r="C25" s="208">
        <v>1.0</v>
      </c>
      <c r="D25" s="39">
        <v>0.35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25" t="s">
        <v>284</v>
      </c>
      <c r="AB25" s="1"/>
      <c r="AC25" s="1"/>
      <c r="AD25" s="1"/>
      <c r="AE25" s="1"/>
      <c r="AF25" s="1"/>
      <c r="AG25" s="1"/>
      <c r="AH25" s="1"/>
      <c r="AI25" s="1"/>
      <c r="AJ25" s="1"/>
    </row>
    <row r="26">
      <c r="A26" s="214" t="s">
        <v>285</v>
      </c>
      <c r="B26" s="1" t="str">
        <f>IF(COUNTIF('종합'!$B$11:$G$15, A26) &gt; 0, TRUE, "")</f>
        <v/>
      </c>
      <c r="C26" s="39">
        <v>15.0</v>
      </c>
      <c r="D26" s="25"/>
      <c r="E26" s="208">
        <f>if(C26&gt;14,0.07,0)</f>
        <v>0.07</v>
      </c>
      <c r="F26" s="208">
        <f>if(C26&gt;9,0.07,0)</f>
        <v>0.07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208">
        <v>0.1</v>
      </c>
      <c r="R26" s="1"/>
      <c r="S26" s="208">
        <v>0.1</v>
      </c>
      <c r="T26" s="208">
        <v>0.1</v>
      </c>
      <c r="U26" s="208">
        <v>0.1</v>
      </c>
      <c r="V26" s="1"/>
      <c r="W26" s="1"/>
      <c r="X26" s="1"/>
      <c r="Y26" s="1"/>
      <c r="Z26" s="208">
        <v>0.1</v>
      </c>
      <c r="AA26" s="25" t="s">
        <v>286</v>
      </c>
      <c r="AB26" s="1"/>
      <c r="AC26" s="1"/>
      <c r="AD26" s="1"/>
      <c r="AE26" s="1"/>
      <c r="AF26" s="1"/>
      <c r="AG26" s="1"/>
      <c r="AH26" s="1"/>
      <c r="AI26" s="1"/>
      <c r="AJ26" s="1"/>
    </row>
    <row r="27">
      <c r="A27" s="214" t="s">
        <v>287</v>
      </c>
      <c r="B27" s="1" t="str">
        <f>IF(COUNTIF('종합'!$B$11:$G$15, A27) &gt; 0, TRUE, "")</f>
        <v/>
      </c>
      <c r="C27" s="39">
        <v>15.0</v>
      </c>
      <c r="D27" s="208">
        <v>0.05</v>
      </c>
      <c r="E27" s="208">
        <f>if(C27&gt;9,0.03,0)+if(C27&gt;14,0.03,0)</f>
        <v>0.06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5"/>
      <c r="X27" s="208">
        <f>1.1/4</f>
        <v>0.275</v>
      </c>
      <c r="Y27" s="208">
        <f>0.35/4</f>
        <v>0.0875</v>
      </c>
      <c r="Z27" s="1"/>
      <c r="AA27" s="25" t="s">
        <v>288</v>
      </c>
      <c r="AB27" s="1"/>
      <c r="AC27" s="1"/>
      <c r="AD27" s="1"/>
      <c r="AE27" s="1"/>
      <c r="AF27" s="1"/>
      <c r="AG27" s="1"/>
      <c r="AH27" s="1"/>
      <c r="AI27" s="1"/>
      <c r="AJ27" s="1"/>
    </row>
    <row r="28">
      <c r="A28" s="214" t="s">
        <v>289</v>
      </c>
      <c r="B28" s="1" t="str">
        <f>IF(COUNTIF('종합'!$B$11:$G$15, A28) &gt; 0, TRUE, "")</f>
        <v/>
      </c>
      <c r="C28" s="208">
        <v>1.0</v>
      </c>
      <c r="D28" s="208">
        <v>0.2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208">
        <v>0.12</v>
      </c>
      <c r="V28" s="1"/>
      <c r="W28" s="1"/>
      <c r="X28" s="1"/>
      <c r="Y28" s="1"/>
      <c r="Z28" s="1"/>
      <c r="AA28" s="25" t="s">
        <v>267</v>
      </c>
      <c r="AB28" s="1"/>
      <c r="AC28" s="1"/>
      <c r="AD28" s="1"/>
      <c r="AE28" s="1"/>
      <c r="AF28" s="1"/>
      <c r="AG28" s="1"/>
      <c r="AH28" s="1"/>
      <c r="AI28" s="1"/>
      <c r="AJ28" s="1"/>
    </row>
    <row r="29">
      <c r="A29" s="25" t="s">
        <v>290</v>
      </c>
      <c r="B29" s="1" t="str">
        <f>IF(COUNTIF('종합'!$B$11:$G$15, A29) &gt; 0, TRUE, "")</f>
        <v/>
      </c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1"/>
      <c r="AE29" s="1"/>
      <c r="AF29" s="1"/>
      <c r="AG29" s="1"/>
      <c r="AH29" s="1"/>
      <c r="AI29" s="1"/>
      <c r="AJ29" s="1"/>
    </row>
    <row r="30">
      <c r="A30" s="216" t="s">
        <v>291</v>
      </c>
      <c r="B30" s="1" t="str">
        <f>IF(COUNTIF('종합'!$B$11:$G$15, A30) &gt; 0, TRUE, "")</f>
        <v/>
      </c>
      <c r="C30" s="210"/>
      <c r="D30" s="210"/>
      <c r="E30" s="211"/>
      <c r="F30" s="211"/>
      <c r="G30" s="211"/>
      <c r="H30" s="211"/>
      <c r="I30" s="211"/>
      <c r="J30" s="211"/>
      <c r="K30" s="211">
        <f t="array" ref="K30">LET(
  전투시간, '종합'!C3,
  치확, '종합'!K17,
  공속, ('종합'!K39 + '종합'!K40) * 1.5,
  룬효과, '방어구룬'!B68,
  순변화량, 1 - (공속 * 치확),
  평균중첩, IF(OR(룬효과, 순변화량 &gt;= 0), 10,
    LET(
      소모시간, -10 / 순변화량,
      IF(전투시간 &lt;= 소모시간,
        (10 + (10 + 순변화량 * 전투시간)) / 2,
        (5 * 소모시간) / 전투시간
      )
    )
  ),
  평균중첩 * (0.035 + 
    IF(SUMPRODUCT(('종합'!$B$11:$G$15=INDIRECT("A"&amp;ROW())) * ('종합'!$C$11:$H$15="초월+")), 0.003, 0) + 
    IF(SUMPRODUCT(('종합'!$B$11:$G$15=INDIRECT("A"&amp;ROW())) * ('종합'!$C$11:$H$15="초월++")), 0.005, 0)
  )
)</f>
        <v>0.35</v>
      </c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2"/>
      <c r="AB30" s="211"/>
      <c r="AC30" s="211"/>
      <c r="AD30" s="1"/>
      <c r="AE30" s="1"/>
      <c r="AF30" s="1"/>
      <c r="AG30" s="1"/>
      <c r="AH30" s="1"/>
      <c r="AI30" s="1"/>
      <c r="AJ30" s="1"/>
    </row>
    <row r="31">
      <c r="A31" s="216" t="s">
        <v>292</v>
      </c>
      <c r="B31" s="1" t="str">
        <f>IF(COUNTIF('종합'!$B$11:$G$15, A31) &gt; 0, TRUE, "")</f>
        <v/>
      </c>
      <c r="C31" s="210"/>
      <c r="D31" s="210"/>
      <c r="E31" s="211">
        <f t="array" ref="E31">LET(
  전투시간, '종합'!C3,
  룬적용, '방어구룬'!B49,
  시작중첩, IF(룬적용, 4, 2),
  증가량, IF(룬적용, 2, 1),
  상승1, (6 - 시작중첩) / 증가량 * 10,
  주기1, 상승1 + 20,
  상승2, 60 / 증가량,
  주기2, 상승2 + 20,
  면적1상승, 10 * ((상승1 / 10) * 시작중첩 + 증가량 * (상승1 / 10) * (상승1 / 10 - 1) / 2),
  면적1전체, 면적1상승 + 120,
  면적2상승, 10 * (증가량 * (상승2 / 10) * (상승2 / 10 - 1) / 2),
  면적2전체, 면적2상승 + 120,
  누적면적, IF(전투시간 &lt;= 주기1,
    IF(전투시간 &lt;= 상승1,
      LET(n, QUOTIENT(전투시간, 10), (10 * (n * 시작중첩 + 증가량 * n * (n - 1) / 2)) + (시작중첩 + n * 증가량) * MOD(전투시간, 10)),
      면적1상승 + 6 * (전투시간 - 상승1)
    ),
    면적1전체 + QUOTIENT(전투시간 - 주기1, 주기2) * 면적2전체 + 
    LET(남은시간, MOD(전투시간 - 주기1, 주기2), 
      IF(남은시간 &lt;= 상승2, 
        LET(m, QUOTIENT(남은시간, 10), (10 * (증가량 * m * (m - 1) / 2)) + (m * 증가량) * MOD(남은시간, 10)), 
        면적2상승 + 6 * (남은시간 - 상승2)
      )
    )
  ),
  보너스, IF(SUMPRODUCT(('종합'!$B$11:$G$15=INDIRECT("A"&amp;ROW())) * ('종합'!$C$11:$H$15="초월+")), 0.002, 0) + IF(SUMPRODUCT(('종합'!$B$11:$G$15=INDIRECT("A"&amp;ROW())) * ('종합'!$C$11:$H$15="초월++")), 0.004, 0),
  IFERROR(누적면적 / 전투시간, 시작중첩) * (0.03 + 보너스)
)</f>
        <v>0.1025</v>
      </c>
      <c r="F31" s="211">
        <f t="array" ref="F31">LET(
  전투시간, '종합'!C3,
  룬적용, '방어구룬'!B49,
  시작중첩, IF(룬적용, 4, 2),
  증가량, IF(룬적용, 2, 1),
  상승1, (6 - 시작중첩) / 증가량 * 10,
  주기1, 상승1 + 20,
  상승2, 60 / 증가량,
  주기2, 상승2 + 20,
  면적1상승, 10 * ((상승1 / 10) * 시작중첩 + 증가량 * (상승1 / 10) * (상승1 / 10 - 1) / 2),
  면적1전체, 면적1상승 + 120,
  면적2상승, 10 * (증가량 * (상승2 / 10) * (상승2 / 10 - 1) / 2),
  면적2전체, 면적2상승 + 120,
  누적면적, IF(전투시간 &lt;= 주기1,
    IF(전투시간 &lt;= 상승1,
      LET(n, QUOTIENT(전투시간, 10), (10 * (n * 시작중첩 + 증가량 * n * (n - 1) / 2)) + (시작중첩 + n * 증가량) * MOD(전투시간, 10)),
      면적1상승 + 6 * (전투시간 - 상승1)
    ),
    면적1전체 + QUOTIENT(전투시간 - 주기1, 주기2) * 면적2전체 + 
    LET(남은시간, MOD(전투시간 - 주기1, 주기2), 
      IF(남은시간 &lt;= 상승2, 
        LET(m, QUOTIENT(남은시간, 10), (10 * (증가량 * m * (m - 1) / 2)) + (m * 증가량) * MOD(남은시간, 10)), 
        면적2상승 + 6 * (남은시간 - 상승2)
      )
    )
  ),
  보너스, IF(SUMPRODUCT(('종합'!$B$11:$G$15=INDIRECT("A"&amp;ROW())) * ('종합'!$C$11:$H$15="초월+")), 0.002, 0) + IF(SUMPRODUCT(('종합'!$B$11:$G$15=INDIRECT("A"&amp;ROW())) * ('종합'!$C$11:$H$15="초월++")), 0.004, 0),
  IFERROR(누적면적 / 전투시간, 시작중첩) * (0.03 + 보너스)
)</f>
        <v>0.1025</v>
      </c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2">
        <f>LET(
  전투시간, '종합'!C3,
  룬적용, '방어구룬'!B49,
  상승시간1, IF(룬적용, 10, 40),
  주기1, 상승시간1 + 20,
  상승시간2, IF(룬적용, 30, 60),
  주기2, 상승시간2 + 20,
  IF(전투시간 &lt; 상승시간1, 0, 
    1 + INT(MAX(0, 전투시간 - 주기1) / 주기2)
  )
)</f>
        <v>1</v>
      </c>
      <c r="AB31" s="211">
        <f>LET(
  전투시간, '종합'!C3,
  룬적용, '방어구룬'!B49,
  최대횟수, '무기룬'!AA31,
  상승1, IF(룬적용, 10, 40),
  주기1, 상승1 + 20,
  상승2, IF(룬적용, 30, 60),
  주기2, 상승2 + 20,
  마지막_활성시점, IF(최대횟수 &lt;= 1, 상승1, 주기1 + (최대횟수 - 2) * 주기2 + 상승2),
  마지막_유지분, IF(최대횟수 &lt; 1, 0, MAX(0, MIN(20, 전투시간 - 마지막_활성시점))),
  총_활성시간, IF(최대횟수 &lt; 1, 0, (MAX(0, 최대횟수 - 1) * 20) + 마지막_유지분),
  IFERROR((총_활성시간 / 전투시간) * 0.2, 0)
)</f>
        <v>0.03333333333</v>
      </c>
      <c r="AC31" s="211"/>
      <c r="AD31" s="1"/>
      <c r="AE31" s="1"/>
      <c r="AF31" s="1"/>
      <c r="AG31" s="1"/>
      <c r="AH31" s="1"/>
      <c r="AI31" s="1"/>
      <c r="AJ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208">
        <v>3982.0</v>
      </c>
      <c r="AG38" s="1"/>
      <c r="AH38" s="208">
        <v>4380.0</v>
      </c>
      <c r="AI38" s="208">
        <v>1393.0</v>
      </c>
      <c r="AJ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51">
        <f>AH38/AF38</f>
        <v>1.099949774</v>
      </c>
      <c r="AI39" s="151">
        <f>AI38/AF38</f>
        <v>0.3498242089</v>
      </c>
      <c r="AJ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51">
        <f>AH39+AI39</f>
        <v>1.449773983</v>
      </c>
      <c r="AI42" s="1"/>
      <c r="AJ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208">
        <v>0.3</v>
      </c>
      <c r="AC65" s="208">
        <v>0.3</v>
      </c>
      <c r="AD65" s="1"/>
      <c r="AE65" s="1"/>
      <c r="AF65" s="1"/>
      <c r="AG65" s="1"/>
      <c r="AH65" s="1"/>
      <c r="AI65" s="1"/>
      <c r="AJ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208">
        <v>0.02</v>
      </c>
      <c r="AC70" s="208">
        <v>0.02</v>
      </c>
      <c r="AD70" s="1"/>
      <c r="AE70" s="1"/>
      <c r="AF70" s="1"/>
      <c r="AG70" s="1"/>
      <c r="AH70" s="1"/>
      <c r="AI70" s="1"/>
      <c r="AJ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</row>
  </sheetData>
  <conditionalFormatting sqref="B2:B36 C2:AA28 AB2:AC70 C30:H31 I30:I32 J30:AA31 K33 L34 M35 N36">
    <cfRule type="expression" dxfId="3" priority="1">
      <formula>$B2=TRUE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30" width="7.63"/>
  </cols>
  <sheetData>
    <row r="1">
      <c r="A1" s="25" t="s">
        <v>293</v>
      </c>
      <c r="B1" s="25" t="s">
        <v>229</v>
      </c>
      <c r="C1" s="25" t="s">
        <v>230</v>
      </c>
      <c r="D1" s="25" t="s">
        <v>231</v>
      </c>
      <c r="E1" s="25" t="s">
        <v>232</v>
      </c>
      <c r="F1" s="25" t="s">
        <v>233</v>
      </c>
      <c r="G1" s="25" t="s">
        <v>234</v>
      </c>
      <c r="H1" s="25" t="s">
        <v>235</v>
      </c>
      <c r="I1" s="25" t="s">
        <v>236</v>
      </c>
      <c r="J1" s="25" t="s">
        <v>237</v>
      </c>
      <c r="K1" s="25" t="s">
        <v>238</v>
      </c>
      <c r="L1" s="25" t="s">
        <v>239</v>
      </c>
      <c r="M1" s="25" t="s">
        <v>240</v>
      </c>
      <c r="N1" s="25" t="s">
        <v>241</v>
      </c>
      <c r="O1" s="25" t="s">
        <v>242</v>
      </c>
      <c r="P1" s="25" t="s">
        <v>243</v>
      </c>
      <c r="Q1" s="25" t="s">
        <v>244</v>
      </c>
      <c r="R1" s="25" t="s">
        <v>245</v>
      </c>
      <c r="S1" s="25" t="s">
        <v>246</v>
      </c>
      <c r="T1" s="25" t="s">
        <v>247</v>
      </c>
      <c r="U1" s="25" t="s">
        <v>248</v>
      </c>
      <c r="V1" s="25" t="s">
        <v>249</v>
      </c>
      <c r="W1" s="25" t="s">
        <v>250</v>
      </c>
      <c r="X1" s="25" t="s">
        <v>251</v>
      </c>
      <c r="Y1" s="25" t="s">
        <v>252</v>
      </c>
      <c r="Z1" s="25" t="s">
        <v>253</v>
      </c>
      <c r="AA1" s="25" t="s">
        <v>118</v>
      </c>
      <c r="AB1" s="1"/>
      <c r="AC1" s="25" t="s">
        <v>254</v>
      </c>
      <c r="AD1" s="1"/>
      <c r="AE1" s="1"/>
      <c r="AF1" s="1"/>
      <c r="AG1" s="1"/>
      <c r="AH1" s="1"/>
    </row>
    <row r="2">
      <c r="A2" s="207" t="s">
        <v>294</v>
      </c>
      <c r="B2" s="1" t="str">
        <f>IF(COUNTIF('종합'!$B$11:$G$15, A2) &gt; 0, TRUE, "")</f>
        <v/>
      </c>
      <c r="C2" s="217">
        <v>1.0</v>
      </c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7">
        <v>0.1</v>
      </c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1"/>
      <c r="AB2" s="1"/>
      <c r="AC2" s="1"/>
      <c r="AD2" s="1"/>
      <c r="AE2" s="1"/>
      <c r="AF2" s="1"/>
      <c r="AG2" s="1"/>
      <c r="AH2" s="1"/>
    </row>
    <row r="3">
      <c r="A3" s="207" t="s">
        <v>295</v>
      </c>
      <c r="B3" s="1" t="str">
        <f>IF(COUNTIF('종합'!$B$11:$G$15, A3) &gt; 0, TRUE, "")</f>
        <v/>
      </c>
      <c r="C3" s="217">
        <v>1.0</v>
      </c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7">
        <v>0.1</v>
      </c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1"/>
      <c r="AB3" s="1"/>
      <c r="AC3" s="1"/>
      <c r="AD3" s="1"/>
      <c r="AE3" s="1"/>
      <c r="AF3" s="1"/>
      <c r="AG3" s="1"/>
      <c r="AH3" s="1"/>
    </row>
    <row r="4">
      <c r="A4" s="207" t="s">
        <v>296</v>
      </c>
      <c r="B4" s="1" t="str">
        <f>IF(COUNTIF('종합'!$B$11:$G$15, A4) &gt; 0, TRUE, "")</f>
        <v/>
      </c>
      <c r="C4" s="217">
        <v>1.0</v>
      </c>
      <c r="D4" s="215"/>
      <c r="E4" s="217">
        <v>0.14</v>
      </c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1"/>
      <c r="AB4" s="1"/>
      <c r="AC4" s="1"/>
      <c r="AD4" s="1"/>
      <c r="AE4" s="1"/>
      <c r="AF4" s="1"/>
      <c r="AG4" s="1"/>
      <c r="AH4" s="1"/>
    </row>
    <row r="5">
      <c r="A5" s="207" t="s">
        <v>297</v>
      </c>
      <c r="B5" s="1" t="str">
        <f>IF(COUNTIF('종합'!$B$11:$G$15, A5) &gt; 0, TRUE, "")</f>
        <v/>
      </c>
      <c r="C5" s="217">
        <v>0.7</v>
      </c>
      <c r="D5" s="215"/>
      <c r="E5" s="217">
        <f>0.2*C5</f>
        <v>0.14</v>
      </c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1"/>
      <c r="AB5" s="1"/>
      <c r="AC5" s="1"/>
      <c r="AD5" s="1"/>
      <c r="AE5" s="1"/>
      <c r="AF5" s="1"/>
      <c r="AG5" s="1"/>
      <c r="AH5" s="1"/>
    </row>
    <row r="6">
      <c r="A6" s="207" t="s">
        <v>298</v>
      </c>
      <c r="B6" s="1" t="str">
        <f>IF(COUNTIF('종합'!$B$11:$G$15, A6) &gt; 0, TRUE, "")</f>
        <v/>
      </c>
      <c r="C6" s="217">
        <v>1.0</v>
      </c>
      <c r="D6" s="215"/>
      <c r="E6" s="215"/>
      <c r="F6" s="217">
        <v>0.12</v>
      </c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7">
        <v>0.3</v>
      </c>
      <c r="AA6" s="1"/>
      <c r="AB6" s="1"/>
      <c r="AC6" s="1"/>
      <c r="AD6" s="1"/>
      <c r="AE6" s="1"/>
      <c r="AF6" s="1"/>
      <c r="AG6" s="1"/>
      <c r="AH6" s="1"/>
    </row>
    <row r="7">
      <c r="A7" s="207" t="s">
        <v>299</v>
      </c>
      <c r="B7" s="1" t="str">
        <f>IF(COUNTIF('종합'!$B$11:$G$15, A7) &gt; 0, TRUE, "")</f>
        <v/>
      </c>
      <c r="C7" s="217">
        <v>1.0</v>
      </c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7">
        <f>if(B8, 0.162,0.144)</f>
        <v>0.144</v>
      </c>
      <c r="Y7" s="215"/>
      <c r="Z7" s="215"/>
      <c r="AA7" s="1"/>
      <c r="AB7" s="1"/>
      <c r="AC7" s="1"/>
      <c r="AD7" s="1"/>
      <c r="AE7" s="1"/>
      <c r="AF7" s="1"/>
      <c r="AG7" s="1"/>
      <c r="AH7" s="1"/>
    </row>
    <row r="8">
      <c r="A8" s="207" t="s">
        <v>300</v>
      </c>
      <c r="B8" s="1" t="str">
        <f>IF(COUNTIF('종합'!$B$11:$G$15, A8) &gt; 0, TRUE, "")</f>
        <v/>
      </c>
      <c r="C8" s="217">
        <v>1.0</v>
      </c>
      <c r="D8" s="215"/>
      <c r="E8" s="215"/>
      <c r="F8" s="217">
        <f>if(B7, 0.168,0.1292)</f>
        <v>0.1292</v>
      </c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1"/>
      <c r="AB8" s="1"/>
      <c r="AC8" s="1"/>
      <c r="AD8" s="1"/>
      <c r="AE8" s="1"/>
      <c r="AF8" s="1"/>
      <c r="AG8" s="1"/>
      <c r="AH8" s="1"/>
    </row>
    <row r="9">
      <c r="A9" s="207" t="s">
        <v>301</v>
      </c>
      <c r="B9" s="1" t="str">
        <f>IF(COUNTIF('종합'!$B$11:$G$15, A9) &gt; 0, TRUE, "")</f>
        <v/>
      </c>
      <c r="C9" s="217">
        <f>min(('종합'!K39)*if('방어구룬'!B49=true,10/6,10/3),1)</f>
        <v>1</v>
      </c>
      <c r="D9" s="215"/>
      <c r="E9" s="217">
        <f t="array" ref="E9">(0.21+IF(SUMPRODUCT(('종합'!$B$11:$G$15=INDIRECT("A"&amp;ROW())) * ('종합'!$C$11:$H$15="초월+")), 0.018, 0)+IF(SUMPRODUCT(('종합'!$B$11:$G$15=INDIRECT("A"&amp;ROW())) * ('종합'!$C$11:$H$15="초월++")), 0.03, 0))*C9</f>
        <v>0.21</v>
      </c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1"/>
      <c r="AB9" s="1"/>
      <c r="AC9" s="1"/>
      <c r="AD9" s="1"/>
      <c r="AE9" s="1"/>
      <c r="AF9" s="1"/>
      <c r="AG9" s="1"/>
      <c r="AH9" s="1"/>
    </row>
    <row r="10">
      <c r="A10" s="207" t="s">
        <v>302</v>
      </c>
      <c r="B10" s="1" t="str">
        <f>IF(COUNTIF('종합'!$B$11:$G$15, A10) &gt; 0, TRUE, "")</f>
        <v/>
      </c>
      <c r="C10" s="217">
        <f>IF('방어구룬'!B49=TRUE, MIN(('종합'!K39+'종합'!I40)*16, 16), MIN(('종합'!K39+'종합'!I40)*8, 16))</f>
        <v>4.845576248</v>
      </c>
      <c r="D10" s="215"/>
      <c r="E10" s="215"/>
      <c r="F10" s="217">
        <f t="array" ref="F10">(0.014+IF(SUMPRODUCT(('종합'!$B$11:$G$15=INDIRECT("A"&amp;ROW())) * ('종합'!$C$11:$H$15="초월+")), 0.002, 0)+IF(SUMPRODUCT(('종합'!$B$11:$G$15=INDIRECT("A"&amp;ROW())) * ('종합'!$C$11:$H$15="초월++")), 0.003, 0))*C10</f>
        <v>0.06783806747</v>
      </c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1"/>
      <c r="AB10" s="1"/>
      <c r="AC10" s="1"/>
      <c r="AD10" s="1"/>
      <c r="AE10" s="1"/>
      <c r="AF10" s="1"/>
      <c r="AG10" s="1"/>
      <c r="AH10" s="1"/>
    </row>
    <row r="11">
      <c r="A11" s="207" t="s">
        <v>303</v>
      </c>
      <c r="B11" s="1" t="str">
        <f>IF(COUNTIF('종합'!$B$11:$G$15, A11) &gt; 0, TRUE, "")</f>
        <v/>
      </c>
      <c r="C11" s="217">
        <f>MIN(6*IF('방어구룬'!B55=TRUE, ('종합'!K39+'종합'!K40)*2, ('종합'!K39+'종합'!K40))/7, 1)</f>
        <v>0.7941676983</v>
      </c>
      <c r="D11" s="215"/>
      <c r="E11" s="217">
        <f t="array" ref="E11">C11*(0.22+IF(SUMPRODUCT(('종합'!$B$11:$G$15=INDIRECT("A"&amp;ROW())) * ('종합'!$C$11:$H$15="초월+")), 0.02, 0)+IF(SUMPRODUCT(('종합'!$B$11:$G$15=INDIRECT("A"&amp;ROW())) * ('종합'!$C$11:$H$15="초월++")), 0.04, 0))</f>
        <v>0.1747168936</v>
      </c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1"/>
      <c r="AB11" s="1"/>
      <c r="AC11" s="1"/>
      <c r="AD11" s="1"/>
      <c r="AE11" s="1"/>
      <c r="AF11" s="1"/>
      <c r="AG11" s="1"/>
      <c r="AH11" s="1"/>
    </row>
    <row r="12">
      <c r="A12" s="207" t="s">
        <v>304</v>
      </c>
      <c r="B12" s="25" t="str">
        <f>IF(COUNTIF('종합'!$B$11:$G$15, A12) &gt; 0, TRUE, "")</f>
        <v/>
      </c>
      <c r="C12" s="217">
        <v>1.0</v>
      </c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7">
        <f t="array" ref="Q12">0.2+IF(SUMPRODUCT(('종합'!$B$11:$G$15=INDIRECT("A"&amp;ROW())) * ('종합'!$C$11:$H$15="초월+")), 0.02, 0)+IF(SUMPRODUCT(('종합'!$B$11:$G$15=INDIRECT("A"&amp;ROW())) * ('종합'!$C$11:$H$15="초월++")), 0.04, 0)</f>
        <v>0.2</v>
      </c>
      <c r="R12" s="215"/>
      <c r="S12" s="215"/>
      <c r="T12" s="217">
        <f t="array" ref="T12">0.2+IF(SUMPRODUCT(('종합'!$B$11:$G$15=INDIRECT("A"&amp;ROW())) * ('종합'!$C$11:$H$15="초월+")), 0.02, 0)+IF(SUMPRODUCT(('종합'!$B$11:$G$15=INDIRECT("A"&amp;ROW())) * ('종합'!$C$11:$H$15="초월++")), 0.04, 0)</f>
        <v>0.2</v>
      </c>
      <c r="U12" s="215"/>
      <c r="V12" s="215"/>
      <c r="W12" s="215"/>
      <c r="X12" s="215"/>
      <c r="Y12" s="215"/>
      <c r="Z12" s="215"/>
      <c r="AA12" s="1"/>
      <c r="AB12" s="1"/>
      <c r="AC12" s="1"/>
      <c r="AD12" s="1"/>
      <c r="AE12" s="1"/>
      <c r="AF12" s="1"/>
      <c r="AG12" s="1"/>
      <c r="AH12" s="1"/>
    </row>
    <row r="13">
      <c r="A13" s="207" t="s">
        <v>305</v>
      </c>
      <c r="B13" s="1" t="str">
        <f>IF(COUNTIF('종합'!$B$11:$G$15, A13) &gt; 0, TRUE, "")</f>
        <v/>
      </c>
      <c r="C13" s="217">
        <v>1.0</v>
      </c>
      <c r="D13" s="217">
        <f t="array" ref="D13">0.15+IF(SUMPRODUCT(('종합'!$B$11:$G$15=INDIRECT("A"&amp;ROW())) * ('종합'!$C$11:$H$15="초월+")), 0.03, 0)+IF(SUMPRODUCT(('종합'!$B$11:$G$15=INDIRECT("A"&amp;ROW())) * ('종합'!$C$11:$H$15="초월++")), 0.05, 0)</f>
        <v>0.15</v>
      </c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7">
        <v>0.2</v>
      </c>
      <c r="X13" s="215"/>
      <c r="Y13" s="215"/>
      <c r="Z13" s="215"/>
      <c r="AA13" s="1"/>
      <c r="AB13" s="1"/>
      <c r="AC13" s="1"/>
      <c r="AD13" s="1"/>
      <c r="AE13" s="1"/>
      <c r="AF13" s="1"/>
      <c r="AG13" s="1"/>
      <c r="AH13" s="1"/>
    </row>
    <row r="14">
      <c r="A14" s="207" t="s">
        <v>306</v>
      </c>
      <c r="B14" s="1" t="str">
        <f>IF(COUNTIF('종합'!$B$11:$G$15, A14) &gt; 0, TRUE, "")</f>
        <v/>
      </c>
      <c r="C14" s="217">
        <v>1.0</v>
      </c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7">
        <f t="array" ref="U14">0.3+IF(SUMPRODUCT(('종합'!$B$11:$G$15=INDIRECT("A"&amp;ROW())) * ('종합'!$C$11:$H$15="초월+")), 0.03, 0)+IF(SUMPRODUCT(('종합'!$B$11:$G$15=INDIRECT("A"&amp;ROW())) * ('종합'!$C$11:$H$15="초월++")), 0.06, 0)</f>
        <v>0.3</v>
      </c>
      <c r="V14" s="217">
        <f t="array" ref="V14">0.3+IF(SUMPRODUCT(('종합'!$B$11:$G$15=INDIRECT("A"&amp;ROW())) * ('종합'!$C$11:$H$15="초월+")), 0.03, 0)+IF(SUMPRODUCT(('종합'!$B$11:$G$15=INDIRECT("A"&amp;ROW())) * ('종합'!$C$11:$H$15="초월++")), 0.06, 0)</f>
        <v>0.3</v>
      </c>
      <c r="W14" s="215"/>
      <c r="X14" s="215"/>
      <c r="Y14" s="215"/>
      <c r="Z14" s="215"/>
      <c r="AA14" s="1"/>
      <c r="AB14" s="1"/>
      <c r="AC14" s="1"/>
      <c r="AD14" s="1"/>
      <c r="AE14" s="1"/>
      <c r="AF14" s="1"/>
      <c r="AG14" s="1"/>
      <c r="AH14" s="1"/>
    </row>
    <row r="15">
      <c r="A15" s="207" t="s">
        <v>307</v>
      </c>
      <c r="B15" s="1" t="str">
        <f>IF(COUNTIF('종합'!$B$11:$G$15, A15) &gt; 0, TRUE, "")</f>
        <v/>
      </c>
      <c r="C15" s="217">
        <v>1.0</v>
      </c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7">
        <f t="array" ref="P15">(0.14+IF(SUMPRODUCT(('종합'!$B$11:$G$15=INDIRECT("A"&amp;ROW())) * ('종합'!$C$11:$H$15="초월+")), 0.02, 0)+IF(SUMPRODUCT(('종합'!$B$11:$G$15=INDIRECT("A"&amp;ROW())) * ('종합'!$C$11:$H$15="초월++")), 0.04, 0))*C15</f>
        <v>0.14</v>
      </c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1"/>
      <c r="AB15" s="1"/>
      <c r="AC15" s="1"/>
      <c r="AD15" s="1"/>
      <c r="AE15" s="1"/>
      <c r="AF15" s="1"/>
      <c r="AG15" s="1"/>
      <c r="AH15" s="1"/>
    </row>
    <row r="16">
      <c r="A16" s="207" t="s">
        <v>308</v>
      </c>
      <c r="B16" s="1" t="str">
        <f>IF(COUNTIF('종합'!$B$11:$G$15, A16) &gt; 0, TRUE, "")</f>
        <v/>
      </c>
      <c r="C16" s="217">
        <v>1.0</v>
      </c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7">
        <f t="array" ref="O16">(0.16+IF(SUMPRODUCT(('종합'!$B$11:$G$15=INDIRECT("A"&amp;ROW())) * ('종합'!$C$11:$H$15="초월+")), 0.02, 0)+IF(SUMPRODUCT(('종합'!$B$11:$G$15=INDIRECT("A"&amp;ROW())) * ('종합'!$C$11:$H$15="초월++")), 0.04, 0))*C16</f>
        <v>0.16</v>
      </c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1"/>
      <c r="AB16" s="1"/>
      <c r="AC16" s="1"/>
      <c r="AD16" s="1"/>
      <c r="AE16" s="1"/>
      <c r="AF16" s="1"/>
      <c r="AG16" s="1"/>
      <c r="AH16" s="1"/>
    </row>
    <row r="17">
      <c r="A17" s="207" t="s">
        <v>309</v>
      </c>
      <c r="B17" s="1" t="str">
        <f>IF(COUNTIF('종합'!$B$11:$G$15, A17) &gt; 0, TRUE, "")</f>
        <v/>
      </c>
      <c r="C17" s="217">
        <v>1.0</v>
      </c>
      <c r="D17" s="215"/>
      <c r="E17" s="217">
        <f t="array" ref="E17">(0.2+IF(SUMPRODUCT(('종합'!$B$11:$G$15=INDIRECT("A"&amp;ROW())) * ('종합'!$C$11:$H$15="초월+")), 0.02, 0)+IF(SUMPRODUCT(('종합'!$B$11:$G$15=INDIRECT("A"&amp;ROW())) * ('종합'!$C$11:$H$15="초월++")), 0.04, 0))*C17</f>
        <v>0.2</v>
      </c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1"/>
      <c r="AB17" s="1"/>
      <c r="AC17" s="1"/>
      <c r="AD17" s="1"/>
      <c r="AE17" s="1"/>
      <c r="AF17" s="1"/>
      <c r="AG17" s="1"/>
      <c r="AH17" s="1"/>
    </row>
    <row r="18">
      <c r="A18" s="207" t="s">
        <v>310</v>
      </c>
      <c r="B18" s="1" t="str">
        <f>IF(COUNTIF('종합'!$B$11:$G$15, A18) &gt; 0, TRUE, "")</f>
        <v/>
      </c>
      <c r="C18" s="217">
        <v>1.0</v>
      </c>
      <c r="D18" s="217">
        <f t="array" ref="D18">0.18+IF(SUMPRODUCT(('종합'!$B$11:$G$15=INDIRECT("A"&amp;ROW())) * ('종합'!$C$11:$H$15="초월+")), 0.02, 0)+IF(SUMPRODUCT(('종합'!$B$11:$G$15=INDIRECT("A"&amp;ROW())) * ('종합'!$C$11:$H$15="초월++")), 0.04, 0)</f>
        <v>0.18</v>
      </c>
      <c r="E18" s="215"/>
      <c r="F18" s="215"/>
      <c r="G18" s="217">
        <f>0.1*C18</f>
        <v>0.1</v>
      </c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  <c r="AA18" s="25" t="s">
        <v>311</v>
      </c>
      <c r="AB18" s="1"/>
      <c r="AC18" s="1"/>
      <c r="AD18" s="1"/>
      <c r="AE18" s="1"/>
      <c r="AF18" s="1"/>
      <c r="AG18" s="1"/>
      <c r="AH18" s="1"/>
    </row>
    <row r="19">
      <c r="A19" s="207" t="s">
        <v>312</v>
      </c>
      <c r="B19" s="1" t="str">
        <f>IF(COUNTIF('종합'!$B$11:$G$15, A19) &gt; 0, TRUE, "")</f>
        <v/>
      </c>
      <c r="C19" s="217">
        <v>1.0</v>
      </c>
      <c r="D19" s="217">
        <f t="array" ref="D19">0.2+IF(SUMPRODUCT(('종합'!$B$11:$G$15=INDIRECT("A"&amp;ROW())) * ('종합'!$C$11:$H$15="초월+")), 0.02, 0)+IF(SUMPRODUCT(('종합'!$B$11:$G$15=INDIRECT("A"&amp;ROW())) * ('종합'!$C$11:$H$15="초월++")), 0.04, 0)</f>
        <v>0.2</v>
      </c>
      <c r="E19" s="217">
        <f>0.2*C19-0.2</f>
        <v>0</v>
      </c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  <c r="AA19" s="1"/>
      <c r="AB19" s="1"/>
      <c r="AC19" s="1"/>
      <c r="AD19" s="1"/>
      <c r="AE19" s="1"/>
      <c r="AF19" s="1"/>
      <c r="AG19" s="1"/>
      <c r="AH19" s="1"/>
    </row>
    <row r="20">
      <c r="A20" s="207" t="s">
        <v>313</v>
      </c>
      <c r="B20" s="1" t="str">
        <f>IF(COUNTIF('종합'!$B$11:$G$15, A20) &gt; 0, TRUE, "")</f>
        <v/>
      </c>
      <c r="C20" s="218">
        <v>1.0</v>
      </c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7">
        <f t="array" ref="T20">0.1+IF(SUMPRODUCT(('종합'!$B$11:$G$15=INDIRECT("A"&amp;ROW())) * ('종합'!$C$11:$H$15="초월+")), 0.02, 0)+IF(SUMPRODUCT(('종합'!$B$11:$G$15=INDIRECT("A"&amp;ROW())) * ('종합'!$C$11:$H$15="초월++")), 0.04, 0)</f>
        <v>0.1</v>
      </c>
      <c r="U20" s="217">
        <f t="array" ref="U20">0.1+IF(SUMPRODUCT(('종합'!$B$11:$G$15=INDIRECT("A"&amp;ROW())) * ('종합'!$C$11:$H$15="초월+")), 0.02, 0)+IF(SUMPRODUCT(('종합'!$B$11:$G$15=INDIRECT("A"&amp;ROW())) * ('종합'!$C$11:$H$15="초월++")), 0.04, 0)</f>
        <v>0.1</v>
      </c>
      <c r="V20" s="215"/>
      <c r="W20" s="215"/>
      <c r="X20" s="215"/>
      <c r="Y20" s="215"/>
      <c r="Z20" s="215"/>
      <c r="AA20" s="25" t="s">
        <v>314</v>
      </c>
      <c r="AB20" s="1"/>
      <c r="AC20" s="1"/>
      <c r="AD20" s="1"/>
      <c r="AE20" s="1"/>
      <c r="AF20" s="1"/>
      <c r="AG20" s="1"/>
      <c r="AH20" s="1"/>
    </row>
    <row r="21">
      <c r="A21" s="207" t="s">
        <v>315</v>
      </c>
      <c r="B21" s="1" t="str">
        <f>IF(COUNTIF('종합'!$B$11:$G$15, A21) &gt; 0, TRUE, "")</f>
        <v/>
      </c>
      <c r="C21" s="217">
        <v>0.0</v>
      </c>
      <c r="D21" s="215"/>
      <c r="E21" s="215"/>
      <c r="F21" s="217">
        <f>0.12*C21</f>
        <v>0</v>
      </c>
      <c r="G21" s="215"/>
      <c r="H21" s="215"/>
      <c r="I21" s="215"/>
      <c r="J21" s="215"/>
      <c r="K21" s="215"/>
      <c r="L21" s="215"/>
      <c r="M21" s="215"/>
      <c r="N21" s="215"/>
      <c r="O21" s="217">
        <f>0.07*C21</f>
        <v>0</v>
      </c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1"/>
      <c r="AB21" s="1"/>
      <c r="AC21" s="1"/>
      <c r="AD21" s="1"/>
      <c r="AE21" s="1"/>
      <c r="AF21" s="1"/>
      <c r="AG21" s="1"/>
      <c r="AH21" s="1"/>
    </row>
    <row r="22">
      <c r="A22" s="207" t="s">
        <v>316</v>
      </c>
      <c r="B22" s="1" t="str">
        <f>IF(COUNTIF('종합'!$B$11:$G$15, A22) &gt; 0, TRUE, "")</f>
        <v/>
      </c>
      <c r="C22" s="217">
        <v>0.0</v>
      </c>
      <c r="D22" s="215"/>
      <c r="E22" s="217">
        <f t="array" ref="E22">(0.15+IF(SUMPRODUCT(('종합'!$B$11:$G$15=INDIRECT("A"&amp;ROW())) * ('종합'!$C$11:$H$15="초월+")), 0.03, 0))*C22</f>
        <v>0</v>
      </c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1"/>
      <c r="AB22" s="1"/>
      <c r="AC22" s="1"/>
      <c r="AD22" s="1"/>
      <c r="AE22" s="1"/>
      <c r="AF22" s="1"/>
      <c r="AG22" s="1"/>
      <c r="AH22" s="1"/>
    </row>
    <row r="23">
      <c r="A23" s="207" t="s">
        <v>317</v>
      </c>
      <c r="B23" s="1" t="str">
        <f>IF(COUNTIF('종합'!$B$11:$G$15, A23) &gt; 0, TRUE, "")</f>
        <v/>
      </c>
      <c r="C23" s="217">
        <v>0.5</v>
      </c>
      <c r="D23" s="215"/>
      <c r="E23" s="217">
        <f t="array" ref="E23">(0.2+IF(SUMPRODUCT(('종합'!$B$11:$G$15=INDIRECT("A"&amp;ROW())) * ('종합'!$C$11:$H$15="초월+")), 0.02, 0)+IF(SUMPRODUCT(('종합'!$B$11:$G$15=INDIRECT("A"&amp;ROW())) * ('종합'!$C$11:$H$15="초월++")), 0.04, 0))*C23</f>
        <v>0.1</v>
      </c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1"/>
      <c r="AB23" s="1"/>
      <c r="AC23" s="1"/>
      <c r="AD23" s="1"/>
      <c r="AE23" s="1"/>
      <c r="AF23" s="1"/>
      <c r="AG23" s="1"/>
      <c r="AH23" s="1"/>
    </row>
    <row r="24">
      <c r="A24" s="207" t="s">
        <v>318</v>
      </c>
      <c r="B24" s="1" t="str">
        <f>IF(COUNTIF('종합'!$B$11:$G$15, A24) &gt; 0, TRUE, "")</f>
        <v/>
      </c>
      <c r="C24" s="217">
        <f>IF('종합'!C3&lt;=0, 0, IF('방어구룬'!B49=TRUE, IF('종합'!C3&lt;=150, (3*FLOOR('종합'!C3/30,1)*(FLOOR('종합'!C3/30,1)-1) + 0.2*MOD('종합'!C3,30)*FLOOR('종합'!C3/30,1))/'종합'!C3, (60 + ('종합'!C3-150))/'종합'!C3), IF('종합'!C3&lt;=300, (1.5*FLOOR('종합'!C3/30,1)*(FLOOR('종합'!C3/30,1)-1) + 0.1*MOD('종합'!C3,30)*FLOOR('종합'!C3/30,1))/'종합'!C3, (135 + ('종합'!C3-300))/'종합'!C3)))</f>
        <v>0.15</v>
      </c>
      <c r="D24" s="217">
        <f t="array" ref="D24">0.06+IF(SUMPRODUCT(('종합'!$B$11:$G$15=INDIRECT("A"&amp;ROW())) * ('종합'!$C$11:$H$15="초월+")), 0.02, 0)+IF(SUMPRODUCT(('종합'!$B$11:$G$15=INDIRECT("A"&amp;ROW())) * ('종합'!$C$11:$H$15="초월++")), 0.04, 0)</f>
        <v>0.06</v>
      </c>
      <c r="E24" s="217">
        <f>0.2*C24</f>
        <v>0.03</v>
      </c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1"/>
      <c r="AB24" s="1"/>
      <c r="AC24" s="1"/>
      <c r="AD24" s="1"/>
      <c r="AE24" s="1"/>
      <c r="AF24" s="1"/>
      <c r="AG24" s="1"/>
      <c r="AH24" s="1"/>
    </row>
    <row r="25">
      <c r="A25" s="207" t="s">
        <v>319</v>
      </c>
      <c r="B25" s="1" t="str">
        <f>IF(COUNTIF('종합'!$B$11:$G$15, A25) &gt; 0, TRUE, "")</f>
        <v/>
      </c>
      <c r="C25" s="217">
        <v>1.0</v>
      </c>
      <c r="D25" s="217">
        <f t="array" ref="D25">0.08+IF(SUMPRODUCT(('종합'!$B$11:$G$15=INDIRECT("A"&amp;ROW())) * ('종합'!$C$11:$H$15="초월+")), 0.02, 0)+IF(SUMPRODUCT(('종합'!$B$11:$G$15=INDIRECT("A"&amp;ROW())) * ('종합'!$C$11:$H$15="초월++")), 0.04, 0)</f>
        <v>0.08</v>
      </c>
      <c r="E25" s="217">
        <f>IF('종합'!C3&lt;=0, 0, IF('종합'!C3&lt;45, (0.03*FLOOR('종합'!C3/3,1)*(31-FLOOR('종합'!C3/3,1)) + ('종합'!C3-3*FLOOR('종합'!C3/3,1))*0.02*(15-FLOOR('종합'!C3/3,1)))/'종합'!C3, 7.2/'종합'!C3))</f>
        <v>0.06</v>
      </c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1"/>
      <c r="AB25" s="1"/>
      <c r="AC25" s="1"/>
      <c r="AD25" s="1"/>
      <c r="AE25" s="1"/>
      <c r="AF25" s="1"/>
      <c r="AG25" s="1"/>
      <c r="AH25" s="1"/>
    </row>
    <row r="26">
      <c r="A26" s="207" t="s">
        <v>320</v>
      </c>
      <c r="B26" s="1" t="str">
        <f>IF(COUNTIF('종합'!$B$11:$G$15, A26) &gt; 0, TRUE, "")</f>
        <v/>
      </c>
      <c r="C26" s="217">
        <v>1.0</v>
      </c>
      <c r="D26" s="217"/>
      <c r="E26" s="215"/>
      <c r="F26" s="215"/>
      <c r="G26" s="215"/>
      <c r="H26" s="215"/>
      <c r="I26" s="215"/>
      <c r="J26" s="215">
        <f t="array" ref="J26">0.23+IF(SUMPRODUCT(('종합'!$B$11:$G$15=INDIRECT("A"&amp;ROW())) * ('종합'!$C$11:$H$15="초월+")), 0.02, 0)+IF(SUMPRODUCT(('종합'!$B$11:$G$15=INDIRECT("A"&amp;ROW())) * ('종합'!$C$11:$H$15="초월++")), 0.04, 0)</f>
        <v>0.23</v>
      </c>
      <c r="K26" s="215"/>
      <c r="L26" s="215"/>
      <c r="M26" s="215"/>
      <c r="N26" s="215"/>
      <c r="O26" s="215"/>
      <c r="P26" s="217">
        <f t="array" ref="P26">IF('방어구룬'!B68, 0, -0.08+IF(SUMPRODUCT(('종합'!$B$11:$G$15=INDIRECT("A"&amp;ROW())) * ('종합'!$C$11:$H$15="초월+")), 0.01, 0)+IF(SUMPRODUCT(('종합'!$B$11:$G$15=INDIRECT("A"&amp;ROW())) * ('종합'!$C$11:$H$15="초월++")), 0.02, 0))</f>
        <v>-0.08</v>
      </c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5" t="str">
        <f>IF('방어구룬'!B68, "", "결함")</f>
        <v>결함</v>
      </c>
      <c r="AB26" s="1"/>
      <c r="AC26" s="1"/>
      <c r="AD26" s="1"/>
      <c r="AE26" s="1"/>
      <c r="AF26" s="1"/>
      <c r="AG26" s="1"/>
      <c r="AH26" s="1"/>
    </row>
    <row r="27">
      <c r="A27" s="207" t="s">
        <v>321</v>
      </c>
      <c r="B27" s="1" t="str">
        <f>IF(COUNTIF('종합'!$B$11:$G$15, A27) &gt; 0, TRUE, "")</f>
        <v/>
      </c>
      <c r="C27" s="217">
        <v>1.0</v>
      </c>
      <c r="D27" s="217">
        <f t="array" ref="D27">0.23+IF(SUMPRODUCT(('종합'!$B$11:$G$15=INDIRECT("A"&amp;ROW())) * ('종합'!$C$11:$H$15="초월+")), 0.02, 0)+IF(SUMPRODUCT(('종합'!$B$11:$G$15=INDIRECT("A"&amp;ROW())) * ('종합'!$C$11:$H$15="초월++")), 0.04, 0)</f>
        <v>0.23</v>
      </c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7">
        <f t="array" ref="S27">IF('방어구룬'!B68, 0, -0.07+IF(SUMPRODUCT(('종합'!$B$11:$G$15=INDIRECT("A"&amp;ROW())) * ('종합'!$C$11:$H$15="초월+")), 0.01, 0)+IF(SUMPRODUCT(('종합'!$B$11:$G$15=INDIRECT("A"&amp;ROW())) * ('종합'!$C$11:$H$15="초월++")), 0.02, 0))</f>
        <v>-0.07</v>
      </c>
      <c r="T27" s="215"/>
      <c r="U27" s="215"/>
      <c r="V27" s="215"/>
      <c r="W27" s="215"/>
      <c r="X27" s="215"/>
      <c r="Y27" s="215"/>
      <c r="Z27" s="215"/>
      <c r="AA27" s="1" t="str">
        <f>IF('방어구룬'!B68, "", "결함")</f>
        <v>결함</v>
      </c>
      <c r="AB27" s="1"/>
      <c r="AC27" s="1"/>
      <c r="AD27" s="1"/>
      <c r="AE27" s="1"/>
      <c r="AF27" s="1"/>
      <c r="AG27" s="1"/>
      <c r="AH27" s="1"/>
    </row>
    <row r="28">
      <c r="A28" s="207" t="s">
        <v>322</v>
      </c>
      <c r="B28" s="1" t="str">
        <f>IF(COUNTIF('종합'!$B$11:$G$15, A28) &gt; 0, TRUE, "")</f>
        <v/>
      </c>
      <c r="C28" s="217">
        <v>0.1</v>
      </c>
      <c r="D28" s="215"/>
      <c r="E28" s="217">
        <f t="array" ref="E28">(0.22+IF(SUMPRODUCT(('종합'!$B$11:$G$15=INDIRECT("A"&amp;ROW())) * ('종합'!$C$11:$H$15="초월+")), 0.02, 0)+IF(SUMPRODUCT(('종합'!$B$11:$G$15=INDIRECT("A"&amp;ROW())) * ('종합'!$C$11:$H$15="초월++")), 0.04, 0))*C28</f>
        <v>0.022</v>
      </c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1"/>
      <c r="AB28" s="1"/>
      <c r="AC28" s="1"/>
      <c r="AD28" s="1"/>
      <c r="AE28" s="1"/>
      <c r="AF28" s="1"/>
      <c r="AG28" s="1"/>
      <c r="AH28" s="1"/>
    </row>
    <row r="29">
      <c r="A29" s="207" t="s">
        <v>323</v>
      </c>
      <c r="B29" s="1" t="str">
        <f>IF(COUNTIF('종합'!$B$11:$G$15, A29) &gt; 0, TRUE, "")</f>
        <v/>
      </c>
      <c r="C29" s="217">
        <v>0.5</v>
      </c>
      <c r="D29" s="217">
        <f t="array" ref="D29">0.1+IF(SUMPRODUCT(('종합'!$B$11:$G$15=INDIRECT("A"&amp;ROW())) * ('종합'!$C$11:$H$15="초월+")), 0.02, 0)+IF(SUMPRODUCT(('종합'!$B$11:$G$15=INDIRECT("A"&amp;ROW())) * ('종합'!$C$11:$H$15="초월++")), 0.04, 0)</f>
        <v>0.1</v>
      </c>
      <c r="E29" s="217">
        <f>0.2*C29</f>
        <v>0.1</v>
      </c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1"/>
      <c r="AB29" s="1"/>
      <c r="AC29" s="1"/>
      <c r="AD29" s="1"/>
      <c r="AE29" s="1"/>
      <c r="AF29" s="1"/>
      <c r="AG29" s="1"/>
      <c r="AH29" s="1"/>
    </row>
    <row r="30">
      <c r="A30" s="207" t="s">
        <v>324</v>
      </c>
      <c r="B30" s="1" t="str">
        <f>IF(COUNTIF('종합'!$B$11:$G$15, A30) &gt; 0, TRUE, "")</f>
        <v/>
      </c>
      <c r="C30" s="218">
        <v>1.0</v>
      </c>
      <c r="D30" s="215"/>
      <c r="E30" s="217">
        <f t="array" ref="E30">0.25+IF(SUMPRODUCT(('종합'!$B$11:$G$15=INDIRECT("A"&amp;ROW())) * ('종합'!$C$11:$H$15="초월+")), 0.02, 0)+IF(SUMPRODUCT(('종합'!$B$11:$G$15=INDIRECT("A"&amp;ROW())) * ('종합'!$C$11:$H$15="초월++")), 0.04, 0)</f>
        <v>0.25</v>
      </c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5" t="s">
        <v>325</v>
      </c>
      <c r="AB30" s="1"/>
      <c r="AC30" s="1"/>
      <c r="AD30" s="1"/>
      <c r="AE30" s="1"/>
      <c r="AF30" s="1"/>
      <c r="AG30" s="1"/>
      <c r="AH30" s="1"/>
    </row>
    <row r="31">
      <c r="A31" s="207" t="s">
        <v>326</v>
      </c>
      <c r="B31" s="1" t="str">
        <f>IF(COUNTIF('종합'!$B$11:$G$15, A31) &gt; 0, TRUE, "")</f>
        <v/>
      </c>
      <c r="C31" s="217">
        <v>1.0</v>
      </c>
      <c r="D31" s="217"/>
      <c r="E31" s="217"/>
      <c r="F31" s="217">
        <f t="array" ref="F31">0.23+IF(SUMPRODUCT(('종합'!$B$11:$G$15=INDIRECT("A"&amp;ROW())) * ('종합'!$C$11:$H$15="초월+")), 0.02, 0)+IF(SUMPRODUCT(('종합'!$B$11:$G$15=INDIRECT("A"&amp;ROW())) * ('종합'!$C$11:$H$15="초월++")), 0.04, 0)</f>
        <v>0.23</v>
      </c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7">
        <f t="array" ref="Q31">IF('방어구룬'!B68, 0, -0.08+IF(SUMPRODUCT(('종합'!$B$11:$G$15=INDIRECT("A"&amp;ROW())) * ('종합'!$C$11:$H$15="초월+")), 0.01, 0)+IF(SUMPRODUCT(('종합'!$B$11:$G$15=INDIRECT("A"&amp;ROW())) * ('종합'!$C$11:$H$15="초월++")), 0.03, 0))</f>
        <v>-0.08</v>
      </c>
      <c r="R31" s="215"/>
      <c r="S31" s="215"/>
      <c r="T31" s="215"/>
      <c r="U31" s="215"/>
      <c r="V31" s="215"/>
      <c r="W31" s="215"/>
      <c r="X31" s="215"/>
      <c r="Y31" s="215"/>
      <c r="Z31" s="215"/>
      <c r="AA31" s="1"/>
      <c r="AB31" s="1"/>
      <c r="AC31" s="1"/>
      <c r="AD31" s="1"/>
      <c r="AE31" s="1"/>
      <c r="AF31" s="1"/>
      <c r="AG31" s="1"/>
      <c r="AH31" s="1"/>
    </row>
    <row r="32">
      <c r="A32" s="207" t="s">
        <v>327</v>
      </c>
      <c r="B32" s="1" t="str">
        <f>IF(COUNTIF('종합'!$B$11:$G$15, A32) &gt; 0, TRUE, "")</f>
        <v/>
      </c>
      <c r="C32" s="217">
        <v>1.0</v>
      </c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5" t="s">
        <v>328</v>
      </c>
      <c r="AB32" s="151">
        <f t="array" ref="AB32">0.03+IF(SUMPRODUCT(('종합'!$B$11:$G$15=INDIRECT("A"&amp;ROW())) * ('종합'!$C$11:$H$15="초월+")), 0.003, 0)+IF(SUMPRODUCT(('종합'!$B$11:$G$15=INDIRECT("A"&amp;ROW())) * ('종합'!$C$11:$H$15="초월++")), 0.006, 0)</f>
        <v>0.03</v>
      </c>
      <c r="AC32" s="1"/>
      <c r="AD32" s="1"/>
      <c r="AE32" s="1"/>
      <c r="AF32" s="1"/>
      <c r="AG32" s="1"/>
      <c r="AH32" s="1"/>
    </row>
    <row r="33">
      <c r="A33" s="207" t="s">
        <v>329</v>
      </c>
      <c r="B33" s="209" t="str">
        <f>IF(COUNTIF('종합'!$B$11:$G$15, A33) &gt; 0, TRUE, "")</f>
        <v/>
      </c>
      <c r="C33" s="219">
        <v>1.0</v>
      </c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12" t="s">
        <v>330</v>
      </c>
      <c r="AB33" s="221">
        <f>IF(B33=TRUE, IF(SUMPRODUCT(('종합'!$B$11:$G$15=A33) * ('종합'!$C$11:$H$15="초월+")), 39, IF(SUMPRODUCT(('종합'!$B$11:$G$15=A33) * ('종합'!$C$11:$H$15="초월++")), 40, 38)), 0)</f>
        <v>0</v>
      </c>
      <c r="AC33" s="211"/>
      <c r="AD33" s="1"/>
      <c r="AE33" s="1"/>
      <c r="AF33" s="1"/>
      <c r="AG33" s="1"/>
      <c r="AH33" s="1"/>
    </row>
    <row r="34">
      <c r="A34" s="207" t="s">
        <v>43</v>
      </c>
      <c r="B34" s="1" t="b">
        <f>IF(COUNTIF('종합'!$B$11:$G$15, A34) &gt; 0, TRUE, "")</f>
        <v>1</v>
      </c>
      <c r="C34" s="217">
        <f>IF('방어구룬'!B33, ((FLOOR('종합'!C3/52,1) * 20) + MIN(MOD('종합'!C3,52), 20)) / '종합'!C3, ((FLOOR('종합'!C3/90,1) * 20) + MIN(MOD('종합'!C3,90), 20)) / '종합'!C3)*if('엠블럼룬'!AB$1="각성",1,0)</f>
        <v>0.3333333333</v>
      </c>
      <c r="D34" s="222">
        <v>0.06</v>
      </c>
      <c r="E34" s="222">
        <f t="array" ref="E34">(0.06+IF(SUMPRODUCT(('종합'!$B$11:$G$15=INDIRECT("A"&amp;ROW())) * ('종합'!$C$11:$H$15="초월+")), 0.02, 0)+IF(SUMPRODUCT(('종합'!$B$11:$G$15=INDIRECT("A"&amp;ROW())) * ('종합'!$C$11:$H$15="초월++")), 0.04, 0))*C34</f>
        <v>0.03333333333</v>
      </c>
      <c r="F34" s="223"/>
      <c r="G34" s="223"/>
      <c r="H34" s="222">
        <f>0.06+(0.06*C34)</f>
        <v>0.08</v>
      </c>
      <c r="I34" s="223"/>
      <c r="J34" s="223"/>
      <c r="K34" s="223"/>
      <c r="L34" s="223"/>
      <c r="M34" s="223"/>
      <c r="N34" s="223"/>
      <c r="O34" s="223"/>
      <c r="P34" s="222">
        <f>0.04+(0.04*C34)</f>
        <v>0.05333333333</v>
      </c>
      <c r="Q34" s="223"/>
      <c r="R34" s="223"/>
      <c r="S34" s="223"/>
      <c r="T34" s="223"/>
      <c r="U34" s="223"/>
      <c r="V34" s="223"/>
      <c r="W34" s="223"/>
      <c r="X34" s="223"/>
      <c r="Y34" s="223"/>
      <c r="Z34" s="223"/>
      <c r="AA34" s="25" t="s">
        <v>331</v>
      </c>
      <c r="AB34" s="1"/>
      <c r="AC34" s="1"/>
      <c r="AD34" s="1"/>
      <c r="AE34" s="1"/>
      <c r="AF34" s="1"/>
      <c r="AG34" s="1"/>
      <c r="AH34" s="1"/>
    </row>
    <row r="35">
      <c r="A35" s="207" t="s">
        <v>49</v>
      </c>
      <c r="B35" s="1" t="b">
        <f>IF(COUNTIF('종합'!$B$11:$G$15, A35) &gt; 0, TRUE, "")</f>
        <v>1</v>
      </c>
      <c r="C35" s="217">
        <f>IF('방어구룬'!B33, ((FLOOR('종합'!C3/52,1) * 20) + MIN(MOD('종합'!C3,52), 20)) / '종합'!C3, ((FLOOR('종합'!C3/90,1) * 20) + MIN(MOD('종합'!C3,90), 20)) / '종합'!C3)*if('엠블럼룬'!AB$1="각성",1,0)</f>
        <v>0.3333333333</v>
      </c>
      <c r="D35" s="222">
        <v>0.06</v>
      </c>
      <c r="E35" s="222">
        <f t="array" ref="E35">(0.06+IF(SUMPRODUCT(('종합'!$B$11:$G$15=INDIRECT("A"&amp;ROW())) * ('종합'!$C$11:$H$15="초월+")), 0.02, 0)+IF(SUMPRODUCT(('종합'!$B$11:$G$15=INDIRECT("A"&amp;ROW())) * ('종합'!$C$11:$H$15="초월++")), 0.04, 0))*C35</f>
        <v>0.03333333333</v>
      </c>
      <c r="F35" s="223"/>
      <c r="G35" s="223"/>
      <c r="H35" s="223"/>
      <c r="I35" s="222">
        <f>0.06+(0.06* C35)</f>
        <v>0.08</v>
      </c>
      <c r="J35" s="223"/>
      <c r="K35" s="223"/>
      <c r="L35" s="223"/>
      <c r="M35" s="223"/>
      <c r="N35" s="223"/>
      <c r="O35" s="222">
        <f>0.04+(0.04*C35)</f>
        <v>0.05333333333</v>
      </c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  <c r="AA35" s="25" t="s">
        <v>331</v>
      </c>
      <c r="AB35" s="1"/>
      <c r="AC35" s="1"/>
      <c r="AD35" s="1"/>
      <c r="AE35" s="1"/>
      <c r="AF35" s="1"/>
      <c r="AG35" s="1"/>
      <c r="AH35" s="1"/>
    </row>
    <row r="36">
      <c r="A36" s="207" t="s">
        <v>332</v>
      </c>
      <c r="B36" s="1" t="str">
        <f>IF(COUNTIF('종합'!$B$11:$G$15, A36) &gt; 0, TRUE, "")</f>
        <v/>
      </c>
      <c r="C36" s="217">
        <v>1.0</v>
      </c>
      <c r="D36" s="217">
        <f t="array" ref="D36">0.17+IF(SUMPRODUCT(('종합'!$B$11:$G$15=INDIRECT("A"&amp;ROW())) * ('종합'!$C$11:$H$15="초월+")), 0.02, 0)+IF(SUMPRODUCT(('종합'!$B$11:$G$15=INDIRECT("A"&amp;ROW())) * ('종합'!$C$11:$H$15="초월++")), 0.04, 0)</f>
        <v>0.17</v>
      </c>
      <c r="E36" s="217">
        <f>0.17*C36-0.17</f>
        <v>0</v>
      </c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  <c r="AA36" s="1"/>
      <c r="AB36" s="1"/>
      <c r="AC36" s="1"/>
      <c r="AD36" s="1"/>
      <c r="AE36" s="1"/>
      <c r="AF36" s="1"/>
      <c r="AG36" s="1"/>
      <c r="AH36" s="1"/>
    </row>
    <row r="37">
      <c r="A37" s="207" t="s">
        <v>333</v>
      </c>
      <c r="B37" s="1" t="str">
        <f>IF(COUNTIF('종합'!$B$11:$G$15, A37) &gt; 0, TRUE, "")</f>
        <v/>
      </c>
      <c r="C37" s="217">
        <v>1.0</v>
      </c>
      <c r="D37" s="215"/>
      <c r="E37" s="215"/>
      <c r="F37" s="217">
        <f t="array" ref="F37">0.22+IF(SUMPRODUCT(('종합'!$B$11:$G$15=INDIRECT("A"&amp;ROW())) * ('종합'!$C$11:$H$15="초월+")), 0.02, 0)+IF(SUMPRODUCT(('종합'!$B$11:$G$15=INDIRECT("A"&amp;ROW())) * ('종합'!$C$11:$H$15="초월++")), 0.04, 0)</f>
        <v>0.22</v>
      </c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  <c r="Z37" s="215"/>
      <c r="AA37" s="1"/>
      <c r="AB37" s="1"/>
      <c r="AC37" s="1"/>
      <c r="AD37" s="1"/>
      <c r="AE37" s="1"/>
      <c r="AF37" s="1"/>
      <c r="AG37" s="1"/>
      <c r="AH37" s="1"/>
    </row>
    <row r="38">
      <c r="A38" s="207" t="s">
        <v>334</v>
      </c>
      <c r="B38" s="1" t="str">
        <f>IF(COUNTIF('종합'!$B$11:$G$15, A38) &gt; 0, TRUE, "")</f>
        <v/>
      </c>
      <c r="C38" s="217">
        <v>1.0</v>
      </c>
      <c r="D38" s="217">
        <f t="array" ref="D38">0.23+IF(SUMPRODUCT(('종합'!$B$11:$G$15=INDIRECT("A"&amp;ROW())) * ('종합'!$C$11:$H$15="초월+")), 0.02, 0)+IF(SUMPRODUCT(('종합'!$B$11:$G$15=INDIRECT("A"&amp;ROW())) * ('종합'!$C$11:$H$15="초월++")), 0.04, 0)</f>
        <v>0.23</v>
      </c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7">
        <f t="array" ref="Z38">IF('방어구룬'!B68, 0, -0.08+IF(SUMPRODUCT(('종합'!$B$11:$G$15=INDIRECT("A"&amp;ROW())) * ('종합'!$C$11:$H$15="초월+")), 0.01, 0))</f>
        <v>-0.08</v>
      </c>
      <c r="AA38" s="1"/>
      <c r="AB38" s="1"/>
      <c r="AC38" s="1"/>
      <c r="AD38" s="1"/>
      <c r="AE38" s="1"/>
      <c r="AF38" s="1"/>
      <c r="AG38" s="1"/>
      <c r="AH38" s="1"/>
    </row>
    <row r="39">
      <c r="A39" s="207" t="s">
        <v>335</v>
      </c>
      <c r="B39" s="1" t="str">
        <f>IF(COUNTIF('종합'!$B$11:$G$15, A39) &gt; 0, TRUE, "")</f>
        <v/>
      </c>
      <c r="C39" s="217">
        <v>1.0</v>
      </c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7">
        <f t="array" ref="R39">0.24+IF(SUMPRODUCT(('종합'!$B$11:$G$15=INDIRECT("A"&amp;ROW())) * ('종합'!$C$11:$H$15="초월+")), 0.03, 0)+IF(SUMPRODUCT(('종합'!$B$11:$G$15=INDIRECT("A"&amp;ROW())) * ('종합'!$C$11:$H$15="초월++")), 0.06, 0)</f>
        <v>0.24</v>
      </c>
      <c r="S39" s="215"/>
      <c r="T39" s="215"/>
      <c r="U39" s="215"/>
      <c r="V39" s="215"/>
      <c r="W39" s="215"/>
      <c r="X39" s="215"/>
      <c r="Y39" s="215"/>
      <c r="Z39" s="215"/>
      <c r="AA39" s="25" t="s">
        <v>336</v>
      </c>
      <c r="AB39" s="151">
        <f t="array" ref="AB39">0.24+IF(SUMPRODUCT(('종합'!$B$11:$G$15=INDIRECT("A"&amp;ROW())) * ('종합'!$C$11:$H$15="초월+")), 0.03, 0)+IF(SUMPRODUCT(('종합'!$B$11:$G$15=INDIRECT("A"&amp;ROW())) * ('종합'!$C$11:$H$15="초월++")), 0.06, 0)</f>
        <v>0.24</v>
      </c>
      <c r="AC39" s="1"/>
      <c r="AD39" s="1"/>
      <c r="AE39" s="1"/>
      <c r="AF39" s="1"/>
      <c r="AG39" s="1"/>
      <c r="AH39" s="1"/>
    </row>
    <row r="40">
      <c r="A40" s="207" t="s">
        <v>337</v>
      </c>
      <c r="B40" s="1" t="str">
        <f>IF(COUNTIF('종합'!$B$11:$G$15, A40) &gt; 0, TRUE, "")</f>
        <v/>
      </c>
      <c r="C40" s="217">
        <v>1.0</v>
      </c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7">
        <f t="array" ref="X40">(0.89+IF(SUMPRODUCT(('종합'!$B$11:$G$15=INDIRECT("A"&amp;ROW())) * ('종합'!$C$11:$H$15="초월+")), 0.09, 0)+IF(SUMPRODUCT(('종합'!$B$11:$G$15=INDIRECT("A"&amp;ROW())) * ('종합'!$C$11:$H$15="초월++")), 0.18, 0))/(3.5/$C40)</f>
        <v>0.2542857143</v>
      </c>
      <c r="Y40" s="215"/>
      <c r="Z40" s="215"/>
      <c r="AA40" s="1"/>
      <c r="AB40" s="1"/>
      <c r="AC40" s="208">
        <v>0.085</v>
      </c>
      <c r="AD40" s="1"/>
      <c r="AE40" s="1"/>
      <c r="AF40" s="1"/>
      <c r="AG40" s="1"/>
      <c r="AH40" s="1"/>
    </row>
    <row r="41">
      <c r="A41" s="207" t="s">
        <v>338</v>
      </c>
      <c r="B41" s="1" t="str">
        <f>IF(COUNTIF('종합'!$B$11:$G$15, A41) &gt; 0, TRUE, "")</f>
        <v/>
      </c>
      <c r="C41" s="217">
        <v>1.0</v>
      </c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7">
        <f t="array" ref="X41">(0.38+IF(SUMPRODUCT(('종합'!$B$11:$G$15=INDIRECT("A"&amp;ROW())) * ('종합'!$C$11:$H$15="초월+")), 0.04, 0)+IF(SUMPRODUCT(('종합'!$B$11:$G$15=INDIRECT("A"&amp;ROW())) * ('종합'!$C$11:$H$15="초월++")), 0.09, 0))/((10/6)/C41)</f>
        <v>0.228</v>
      </c>
      <c r="Y41" s="215"/>
      <c r="Z41" s="215"/>
      <c r="AA41" s="1"/>
      <c r="AB41" s="1"/>
      <c r="AC41" s="208">
        <v>0.1</v>
      </c>
      <c r="AD41" s="1"/>
      <c r="AE41" s="1"/>
      <c r="AF41" s="1"/>
      <c r="AG41" s="1"/>
      <c r="AH41" s="1"/>
    </row>
    <row r="42">
      <c r="A42" s="207" t="s">
        <v>339</v>
      </c>
      <c r="B42" s="1" t="str">
        <f>IF(COUNTIF('종합'!$B$11:$G$15, A42) &gt; 0, TRUE, "")</f>
        <v/>
      </c>
      <c r="C42" s="217">
        <v>1.0</v>
      </c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7">
        <f t="array" ref="X42">(1.02+IF(SUMPRODUCT(('종합'!$B$11:$G$15=INDIRECT("A"&amp;ROW())) * ('종합'!$C$11:$H$15="초월+")), 0.1, 0)+IF(SUMPRODUCT(('종합'!$B$11:$G$15=INDIRECT("A"&amp;ROW())) * ('종합'!$C$11:$H$15="초월++")), 0.2, 0))/(4/C42)</f>
        <v>0.255</v>
      </c>
      <c r="Y42" s="215"/>
      <c r="Z42" s="215"/>
      <c r="AA42" s="1"/>
      <c r="AB42" s="1"/>
      <c r="AC42" s="208">
        <v>0.075</v>
      </c>
      <c r="AD42" s="1"/>
      <c r="AE42" s="1"/>
      <c r="AF42" s="1"/>
      <c r="AG42" s="1"/>
      <c r="AH42" s="1"/>
    </row>
    <row r="43">
      <c r="A43" s="207" t="s">
        <v>340</v>
      </c>
      <c r="B43" s="1" t="str">
        <f>IF(COUNTIF('종합'!$B$11:$G$15, A43) &gt; 0, TRUE, "")</f>
        <v/>
      </c>
      <c r="C43" s="217">
        <v>1.0</v>
      </c>
      <c r="D43" s="215"/>
      <c r="E43" s="217">
        <f t="array" ref="E43">0.1+IF(SUMPRODUCT(('종합'!$B$11:$G$15=INDIRECT("A"&amp;ROW())) * ('종합'!$C$11:$H$15="초월+")), 0.02, 0)+IF(SUMPRODUCT(('종합'!$B$11:$G$15=INDIRECT("A"&amp;ROW())) * ('종합'!$C$11:$H$15="초월++")), 0.04, 0)</f>
        <v>0.1</v>
      </c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7">
        <f>0.3/(3/C43)</f>
        <v>0.1</v>
      </c>
      <c r="Y43" s="215"/>
      <c r="Z43" s="215"/>
      <c r="AA43" s="1"/>
      <c r="AB43" s="1"/>
      <c r="AC43" s="208">
        <v>0.1</v>
      </c>
      <c r="AD43" s="1"/>
      <c r="AE43" s="1"/>
      <c r="AF43" s="1"/>
      <c r="AG43" s="1"/>
      <c r="AH43" s="1"/>
    </row>
    <row r="44">
      <c r="A44" s="207" t="s">
        <v>341</v>
      </c>
      <c r="B44" s="1" t="str">
        <f>IF(COUNTIF('종합'!$B$11:$G$15, A44) &gt; 0, TRUE, "")</f>
        <v/>
      </c>
      <c r="C44" s="217">
        <v>0.0</v>
      </c>
      <c r="D44" s="215"/>
      <c r="E44" s="217">
        <f t="array" ref="E44">(0.2+IF(SUMPRODUCT(('종합'!$B$11:$G$15=INDIRECT("A"&amp;ROW())) * ('종합'!$C$11:$H$15="초월+")), 0.02, 0)+IF(SUMPRODUCT(('종합'!$B$11:$G$15=INDIRECT("A"&amp;ROW())) * ('종합'!$C$11:$H$15="초월++")), 0.04, 0))*C44</f>
        <v>0</v>
      </c>
      <c r="F44" s="215"/>
      <c r="G44" s="217">
        <f>0.1*C44</f>
        <v>0</v>
      </c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5" t="s">
        <v>342</v>
      </c>
      <c r="AB44" s="1"/>
      <c r="AC44" s="1"/>
      <c r="AD44" s="1"/>
      <c r="AE44" s="1"/>
      <c r="AF44" s="1"/>
      <c r="AG44" s="1"/>
      <c r="AH44" s="1"/>
    </row>
    <row r="45">
      <c r="A45" s="207" t="s">
        <v>343</v>
      </c>
      <c r="B45" s="1" t="str">
        <f>IF(COUNTIF('종합'!$B$11:$G$15, A45) &gt; 0, TRUE, "")</f>
        <v/>
      </c>
      <c r="C45" s="217">
        <v>1.0</v>
      </c>
      <c r="D45" s="215"/>
      <c r="E45" s="217">
        <f t="array" ref="E45">(0.045+IF(SUMPRODUCT(('종합'!$B$11:$G$15=INDIRECT("A"&amp;ROW())) * ('종합'!$C$11:$H$15="초월+")), 0.006, 0)+IF(SUMPRODUCT(('종합'!$B$11:$G$15=INDIRECT("A"&amp;ROW())) * ('종합'!$C$11:$H$15="초월++")), 0.01, 0))*5</f>
        <v>0.225</v>
      </c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1"/>
      <c r="AB45" s="1"/>
      <c r="AC45" s="1"/>
      <c r="AD45" s="1"/>
      <c r="AE45" s="1"/>
      <c r="AF45" s="1"/>
      <c r="AG45" s="1"/>
      <c r="AH45" s="1"/>
    </row>
    <row r="46">
      <c r="A46" s="207" t="s">
        <v>344</v>
      </c>
      <c r="B46" s="1" t="str">
        <f>IF(COUNTIF('종합'!$B$11:$G$15, A46) &gt; 0, TRUE, "")</f>
        <v/>
      </c>
      <c r="C46" s="217">
        <v>1.0</v>
      </c>
      <c r="D46" s="217">
        <f t="array" ref="D46">0.12+IF(SUMPRODUCT(('종합'!$B$11:$G$15=INDIRECT("A"&amp;ROW())) * ('종합'!$C$11:$H$15="초월+")), 0.02, 0)+IF(SUMPRODUCT(('종합'!$B$11:$G$15=INDIRECT("A"&amp;ROW())) * ('종합'!$C$11:$H$15="초월++")), 0.04, 0)</f>
        <v>0.12</v>
      </c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  <c r="AA46" s="25" t="s">
        <v>345</v>
      </c>
      <c r="AB46" s="1"/>
      <c r="AC46" s="1"/>
      <c r="AD46" s="1"/>
      <c r="AE46" s="1"/>
      <c r="AF46" s="1"/>
      <c r="AG46" s="1"/>
      <c r="AH46" s="1"/>
    </row>
    <row r="47">
      <c r="A47" s="207" t="s">
        <v>346</v>
      </c>
      <c r="B47" s="1" t="str">
        <f>IF(COUNTIF('종합'!$B$11:$G$15, A47) &gt; 0, TRUE, "")</f>
        <v/>
      </c>
      <c r="C47" s="217">
        <v>1.0</v>
      </c>
      <c r="D47" s="215"/>
      <c r="E47" s="215"/>
      <c r="F47" s="217">
        <f t="array" ref="F47">0.1+IF(SUMPRODUCT(('종합'!$B$11:$G$15=INDIRECT("A"&amp;ROW())) * ('종합'!$C$11:$H$15="초월+")), 0.02, 0)+IF(SUMPRODUCT(('종합'!$B$11:$G$15=INDIRECT("A"&amp;ROW())) * ('종합'!$C$11:$H$15="초월++")), 0.04, 0)</f>
        <v>0.1</v>
      </c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7">
        <v>0.25</v>
      </c>
      <c r="R47" s="215"/>
      <c r="S47" s="215"/>
      <c r="T47" s="215"/>
      <c r="U47" s="215"/>
      <c r="V47" s="215"/>
      <c r="W47" s="215"/>
      <c r="X47" s="215"/>
      <c r="Y47" s="215"/>
      <c r="Z47" s="215"/>
      <c r="AA47" s="1"/>
      <c r="AB47" s="1"/>
      <c r="AC47" s="1"/>
      <c r="AD47" s="1"/>
      <c r="AE47" s="1"/>
      <c r="AF47" s="1"/>
      <c r="AG47" s="1"/>
      <c r="AH47" s="1"/>
    </row>
    <row r="48">
      <c r="A48" s="207" t="s">
        <v>347</v>
      </c>
      <c r="B48" s="1" t="str">
        <f>IF(COUNTIF('종합'!$B$11:$G$15, A48) &gt; 0, TRUE, "")</f>
        <v/>
      </c>
      <c r="C48" s="217">
        <f>'종합'!C6/'종합'!C3</f>
        <v>0</v>
      </c>
      <c r="D48" s="217">
        <f t="array" ref="D48">0.06+IF(SUMPRODUCT(('종합'!$B$11:$G$15=INDIRECT("A"&amp;ROW())) * ('종합'!$C$11:$H$15="초월+")), 0.02, 0)+IF(SUMPRODUCT(('종합'!$B$11:$G$15=INDIRECT("A"&amp;ROW())) * ('종합'!$C$11:$H$15="초월++")), 0.04, 0)</f>
        <v>0.06</v>
      </c>
      <c r="E48" s="215"/>
      <c r="F48" s="217">
        <f t="array" ref="F48">(0.28+IF(SUMPRODUCT(('종합'!$B$11:$G$15=INDIRECT("A"&amp;ROW())) * ('종합'!$C$11:$H$15="초월+")), 0.02, 0)+IF(SUMPRODUCT(('종합'!$B$11:$G$15=INDIRECT("A"&amp;ROW())) * ('종합'!$C$11:$H$15="초월++")), 0.04, 0))*C48</f>
        <v>0</v>
      </c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  <c r="AA48" s="25" t="s">
        <v>314</v>
      </c>
      <c r="AB48" s="1"/>
      <c r="AC48" s="1"/>
      <c r="AD48" s="1"/>
      <c r="AE48" s="1"/>
      <c r="AF48" s="1"/>
      <c r="AG48" s="1"/>
      <c r="AH48" s="1"/>
    </row>
    <row r="49">
      <c r="A49" s="207" t="s">
        <v>348</v>
      </c>
      <c r="B49" s="1" t="str">
        <f>IF(COUNTIF('종합'!$B$11:$G$15, A49) &gt; 0, TRUE, "")</f>
        <v/>
      </c>
      <c r="C49" s="217">
        <v>1.0</v>
      </c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7">
        <f t="array" ref="Q49">0.07+IF(SUMPRODUCT(('종합'!$B$11:$G$15=INDIRECT("A"&amp;ROW())) * ('종합'!$C$11:$H$15="초월+")), 0.02, 0)+IF(SUMPRODUCT(('종합'!$B$11:$G$15=INDIRECT("A"&amp;ROW())) * ('종합'!$C$11:$H$15="초월++")), 0.04, 0)</f>
        <v>0.07</v>
      </c>
      <c r="R49" s="215"/>
      <c r="S49" s="215"/>
      <c r="T49" s="217">
        <f t="array" ref="T49">0.07+IF(SUMPRODUCT(('종합'!$B$11:$G$15=INDIRECT("A"&amp;ROW())) * ('종합'!$C$11:$H$15="초월+")), 0.02, 0)+IF(SUMPRODUCT(('종합'!$B$11:$G$15=INDIRECT("A"&amp;ROW())) * ('종합'!$C$11:$H$15="초월++")), 0.04, 0)</f>
        <v>0.07</v>
      </c>
      <c r="U49" s="215"/>
      <c r="V49" s="215"/>
      <c r="W49" s="215"/>
      <c r="X49" s="215"/>
      <c r="Y49" s="215"/>
      <c r="Z49" s="215"/>
      <c r="AA49" s="25" t="s">
        <v>349</v>
      </c>
      <c r="AB49" s="1"/>
      <c r="AC49" s="1"/>
      <c r="AD49" s="1"/>
      <c r="AE49" s="1"/>
      <c r="AF49" s="1"/>
      <c r="AG49" s="1"/>
      <c r="AH49" s="1"/>
    </row>
    <row r="50">
      <c r="A50" s="207" t="s">
        <v>350</v>
      </c>
      <c r="B50" s="1" t="str">
        <f>IF(COUNTIF('종합'!$B$11:$G$15, A50) &gt; 0, TRUE, "")</f>
        <v/>
      </c>
      <c r="C50" s="217">
        <v>1.0</v>
      </c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7">
        <f t="array" ref="N50">LET(
    time, '종합'!C3,
    skill_rate, '종합'!K39,
    skill_req, IF('방어구룬'!B55=TRUE, 3, 5),
    total_skill_req, skill_req * 10,
    IF(OR(time&lt;=0, skill_rate&lt;=0), 0,
        IF(time * skill_rate &lt; total_skill_req,
            LET(
                n, FLOOR(time*skill_rate/skill_req,1),
                (0.022+IF(SUMPRODUCT(('종합'!$B$11:$G$15=INDIRECT("A"&amp;ROW())) * ('종합'!$C$11:$H$15="초월+")), 0.002, 0)+IF(SUMPRODUCT(('종합'!$B$11:$G$15=INDIRECT("A"&amp;ROW())) * ('종합'!$C$11:$H$15="초월++")), 0.004, 0))/time*((skill_req/skill_rate)*n*(n-1)/2 + (time-n*skill_req/skill_rate)*n)
            ),
            (0.22+IF(SUMPRODUCT(('종합'!$B$11:$G$15=INDIRECT("A"&amp;ROW())) * ('종합'!$C$11:$H$15="초월+")), 0.02, 0)) - ((0.022+IF(SUMPRODUCT(('종합'!$B$11:$G$15=INDIRECT("A"&amp;ROW())) * ('종합'!$C$11:$H$15="초월+")), 0.002, 0)+IF(SUMPRODUCT(('종합'!$B$11:$G$15=INDIRECT("A"&amp;ROW())) * ('종합'!$C$11:$H$15="초월++")), 0.004, 0)) * skill_req * 45) / (skill_rate * time)
        )
    )
)</f>
        <v>0.1518966449</v>
      </c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  <c r="AA50" s="25" t="s">
        <v>351</v>
      </c>
      <c r="AB50" s="1"/>
      <c r="AC50" s="1"/>
      <c r="AD50" s="1"/>
      <c r="AE50" s="1"/>
      <c r="AF50" s="1"/>
      <c r="AG50" s="1"/>
      <c r="AH50" s="1"/>
    </row>
    <row r="51">
      <c r="A51" s="207" t="s">
        <v>352</v>
      </c>
      <c r="B51" s="1" t="str">
        <f>IF(COUNTIF('종합'!$B$11:$G$15, A51) &gt; 0, TRUE, "")</f>
        <v/>
      </c>
      <c r="C51" s="217">
        <f>'종합'!C5/1.5</f>
        <v>1.333333333</v>
      </c>
      <c r="D51" s="215"/>
      <c r="E51" s="217">
        <f>0.006*C51</f>
        <v>0.008</v>
      </c>
      <c r="F51" s="217">
        <f>0.006*C51</f>
        <v>0.008</v>
      </c>
      <c r="G51" s="215"/>
      <c r="H51" s="215"/>
      <c r="I51" s="215"/>
      <c r="J51" s="215"/>
      <c r="K51" s="215"/>
      <c r="L51" s="215"/>
      <c r="M51" s="215"/>
      <c r="N51" s="215"/>
      <c r="O51" s="215"/>
      <c r="P51" s="217">
        <f>0.006*C51</f>
        <v>0.008</v>
      </c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5" t="s">
        <v>353</v>
      </c>
      <c r="AB51" s="1"/>
      <c r="AC51" s="1"/>
      <c r="AD51" s="1"/>
      <c r="AE51" s="1"/>
      <c r="AF51" s="1"/>
      <c r="AG51" s="1"/>
      <c r="AH51" s="1"/>
    </row>
    <row r="52">
      <c r="A52" s="207" t="s">
        <v>354</v>
      </c>
      <c r="B52" s="1" t="str">
        <f>IF(COUNTIF('종합'!$B$11:$G$15, A52) &gt; 0, TRUE, "")</f>
        <v/>
      </c>
      <c r="C52" s="217">
        <f>if(B55=true,4,7)</f>
        <v>7</v>
      </c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  <c r="AA52" s="25" t="s">
        <v>355</v>
      </c>
      <c r="AB52" s="151">
        <f t="array" ref="AB52">2.1+IF(SUMPRODUCT(('종합'!$B$11:$G$15=INDIRECT("A"&amp;ROW())) * ('종합'!$C$11:$H$15="초월+")), 0.2, 0)+IF(SUMPRODUCT(('종합'!$B$11:$G$15=INDIRECT("A"&amp;ROW())) * ('종합'!$C$11:$H$15="초월++")), 0.04, 0)</f>
        <v>2.1</v>
      </c>
      <c r="AC52" s="1"/>
      <c r="AD52" s="1"/>
      <c r="AE52" s="1"/>
      <c r="AF52" s="1"/>
      <c r="AG52" s="1"/>
      <c r="AH52" s="1"/>
    </row>
    <row r="53">
      <c r="A53" s="207" t="s">
        <v>356</v>
      </c>
      <c r="B53" s="1" t="str">
        <f>IF(COUNTIF('종합'!$B$11:$G$15, A53) &gt; 0, TRUE, "")</f>
        <v/>
      </c>
      <c r="C53" s="217">
        <v>1.0</v>
      </c>
      <c r="D53" s="215"/>
      <c r="E53" s="217">
        <f>MIN(10*('종합'!K39+'종합'!I40)*'종합'!K17/IF(B55=TRUE, 3, 6), 1)*0.12</f>
        <v>0.06759035944</v>
      </c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7">
        <f t="array" ref="X53">(0.45+IF(SUMPRODUCT(('종합'!$B$11:$G$15=INDIRECT("A"&amp;ROW())) * ('종합'!$C$11:$H$15="초월+")), 0.11, 0)+IF(SUMPRODUCT(('종합'!$B$11:$G$15=INDIRECT("A"&amp;ROW())) * ('종합'!$C$11:$H$15="초월++")), 0.22, 0))*(1/MAX(IF(B55=TRUE, 3, 6)/(('종합'!K39+'종합'!I40)*'종합'!K17), 3))</f>
        <v>0.02534638479</v>
      </c>
      <c r="Y53" s="215"/>
      <c r="Z53" s="215"/>
      <c r="AA53" s="25" t="s">
        <v>357</v>
      </c>
      <c r="AB53" s="1"/>
      <c r="AC53" s="1"/>
      <c r="AD53" s="1"/>
      <c r="AE53" s="1"/>
      <c r="AF53" s="1"/>
      <c r="AG53" s="1"/>
      <c r="AH53" s="1"/>
    </row>
    <row r="54">
      <c r="A54" s="207" t="s">
        <v>358</v>
      </c>
      <c r="B54" s="1" t="str">
        <f>IF(COUNTIF('종합'!$B$11:$G$15, A54) &gt; 0, TRUE, "")</f>
        <v/>
      </c>
      <c r="C54" s="217">
        <v>1.0</v>
      </c>
      <c r="D54" s="215"/>
      <c r="E54" s="217">
        <f>MIN(10*('종합'!K39+'종합'!I40)*'종합'!K16/IF(B55=TRUE, 3, 6), 1)*0.12</f>
        <v>0.03797996054</v>
      </c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7">
        <f t="array" ref="X54">(0.56+IF(SUMPRODUCT(('종합'!$B$11:$G$15=INDIRECT("A"&amp;ROW())) * ('종합'!$C$11:$H$15="초월+")), 0.15, 0)+IF(SUMPRODUCT(('종합'!$B$11:$G$15=INDIRECT("A"&amp;ROW())) * ('종합'!$C$11:$H$15="초월++")), 0.29, 0))*(1/MAX(IF(B55=TRUE, 3, 6)/(('종합'!K39+'종합'!I40)*'종합'!K16), 4))</f>
        <v>0.01772398158</v>
      </c>
      <c r="Y54" s="215"/>
      <c r="Z54" s="215"/>
      <c r="AA54" s="25" t="s">
        <v>359</v>
      </c>
      <c r="AB54" s="1"/>
      <c r="AC54" s="1"/>
      <c r="AD54" s="1"/>
      <c r="AE54" s="1"/>
      <c r="AF54" s="1"/>
      <c r="AG54" s="1"/>
      <c r="AH54" s="1"/>
    </row>
    <row r="55">
      <c r="A55" s="207" t="s">
        <v>360</v>
      </c>
      <c r="B55" s="1" t="str">
        <f>IF(COUNTIF('종합'!$B$11:$G$15, A55) &gt; 0, TRUE, "")</f>
        <v/>
      </c>
      <c r="C55" s="217">
        <v>1.0</v>
      </c>
      <c r="D55" s="215"/>
      <c r="E55" s="215"/>
      <c r="F55" s="217">
        <f t="array" ref="F55">0.1+IF(SUMPRODUCT(('종합'!$B$11:$G$15=INDIRECT("A"&amp;ROW())) * ('종합'!$C$11:$H$15="초월+")), 0.02, 0)+IF(SUMPRODUCT(('종합'!$B$11:$G$15=INDIRECT("A"&amp;ROW())) * ('종합'!$C$11:$H$15="초월++")), 0.06, 0)</f>
        <v>0.1</v>
      </c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5" t="s">
        <v>361</v>
      </c>
      <c r="AB55" s="1"/>
      <c r="AC55" s="1"/>
      <c r="AD55" s="1"/>
      <c r="AE55" s="1"/>
      <c r="AF55" s="1"/>
      <c r="AG55" s="1"/>
      <c r="AH55" s="1"/>
    </row>
    <row r="56">
      <c r="A56" s="207" t="s">
        <v>362</v>
      </c>
      <c r="B56" s="1" t="str">
        <f>IF(COUNTIF('종합'!$B$11:$G$15, A56) &gt; 0, TRUE, "")</f>
        <v/>
      </c>
      <c r="C56" s="217">
        <v>1.0</v>
      </c>
      <c r="D56" s="215"/>
      <c r="E56" s="215"/>
      <c r="F56" s="217">
        <f t="array" ref="F56">0.18+IF(SUMPRODUCT(('종합'!$B$11:$G$15=INDIRECT("A"&amp;ROW())) * ('종합'!$C$11:$H$15="초월+")), 0.02, 0)+IF(SUMPRODUCT(('종합'!$B$11:$G$15=INDIRECT("A"&amp;ROW())) * ('종합'!$C$11:$H$15="초월++")), 0.04, 0)</f>
        <v>0.18</v>
      </c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5" t="s">
        <v>363</v>
      </c>
      <c r="AB56" s="1"/>
      <c r="AC56" s="1"/>
      <c r="AD56" s="1"/>
      <c r="AE56" s="1"/>
      <c r="AF56" s="1"/>
      <c r="AG56" s="1"/>
      <c r="AH56" s="1"/>
    </row>
    <row r="57">
      <c r="A57" s="207" t="s">
        <v>364</v>
      </c>
      <c r="B57" s="1" t="str">
        <f>IF(COUNTIF('종합'!$B$11:$G$15, A57) &gt; 0, TRUE, "")</f>
        <v/>
      </c>
      <c r="C57" s="217">
        <v>1.0</v>
      </c>
      <c r="D57" s="215"/>
      <c r="E57" s="215"/>
      <c r="F57" s="217">
        <f>0.12+0.04*C57</f>
        <v>0.16</v>
      </c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  <c r="AA57" s="1"/>
      <c r="AB57" s="1"/>
      <c r="AC57" s="1"/>
      <c r="AD57" s="1"/>
      <c r="AE57" s="1"/>
      <c r="AF57" s="1"/>
      <c r="AG57" s="1"/>
      <c r="AH57" s="1"/>
    </row>
    <row r="58">
      <c r="A58" s="207" t="s">
        <v>365</v>
      </c>
      <c r="B58" s="1" t="str">
        <f>IF(COUNTIF('종합'!$B$11:$G$15, A58) &gt; 0, TRUE, "")</f>
        <v/>
      </c>
      <c r="C58" s="217">
        <v>1.0</v>
      </c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7">
        <f t="array" ref="O58">0.1+IF(SUMPRODUCT(('종합'!$B$11:$G$15=INDIRECT("A"&amp;ROW())) * ('종합'!$C$11:$H$15="초월+")), 0.02, 0)+IF(SUMPRODUCT(('종합'!$B$11:$G$15=INDIRECT("A"&amp;ROW())) * ('종합'!$C$11:$H$15="초월++")), 0.04, 0)</f>
        <v>0.1</v>
      </c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5" t="s">
        <v>366</v>
      </c>
      <c r="AB58" s="1"/>
      <c r="AC58" s="1"/>
      <c r="AD58" s="1"/>
      <c r="AE58" s="1"/>
      <c r="AF58" s="1"/>
      <c r="AG58" s="1"/>
      <c r="AH58" s="1"/>
    </row>
    <row r="59">
      <c r="A59" s="207" t="s">
        <v>367</v>
      </c>
      <c r="B59" s="1" t="str">
        <f>IF(COUNTIF('종합'!$B$11:$G$15, A59) &gt; 0, TRUE, "")</f>
        <v/>
      </c>
      <c r="C59" s="217">
        <v>1.0</v>
      </c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7">
        <f t="array" ref="X59">(1.26+IF(SUMPRODUCT(('종합'!$B$11:$G$15=INDIRECT("A"&amp;ROW())) * ('종합'!$C$11:$H$15="초월+")), 0.15, 0))/(5/C59)</f>
        <v>0.252</v>
      </c>
      <c r="Y59" s="215"/>
      <c r="Z59" s="215"/>
      <c r="AA59" s="1"/>
      <c r="AB59" s="1"/>
      <c r="AC59" s="1"/>
      <c r="AD59" s="1"/>
      <c r="AE59" s="1"/>
      <c r="AF59" s="1"/>
      <c r="AG59" s="1"/>
      <c r="AH59" s="1"/>
    </row>
    <row r="60">
      <c r="A60" s="207" t="s">
        <v>368</v>
      </c>
      <c r="B60" s="1" t="str">
        <f>IF(COUNTIF('종합'!$B$11:$G$15, A60) &gt; 0, TRUE, "")</f>
        <v/>
      </c>
      <c r="C60" s="217">
        <v>1.0</v>
      </c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7">
        <v>0.117</v>
      </c>
      <c r="Y60" s="215"/>
      <c r="Z60" s="215"/>
      <c r="AA60" s="1"/>
      <c r="AB60" s="1"/>
      <c r="AC60" s="1"/>
      <c r="AD60" s="1"/>
      <c r="AE60" s="1"/>
      <c r="AF60" s="1"/>
      <c r="AG60" s="1"/>
      <c r="AH60" s="1"/>
    </row>
    <row r="61">
      <c r="A61" s="207" t="s">
        <v>369</v>
      </c>
      <c r="B61" s="1" t="str">
        <f>IF(COUNTIF('종합'!$B$11:$G$15, A61) &gt; 0, TRUE, "")</f>
        <v/>
      </c>
      <c r="C61" s="217">
        <v>1.0</v>
      </c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7">
        <f> (0.15*50)*('종합'!K39+'종합'!I40)/IF('방어구룬'!B55=TRUE, 30, 60)/2</f>
        <v>0.03785606443</v>
      </c>
      <c r="Y61" s="215"/>
      <c r="Z61" s="215"/>
      <c r="AA61" s="25" t="s">
        <v>370</v>
      </c>
      <c r="AB61" s="1"/>
      <c r="AC61" s="1"/>
      <c r="AD61" s="1"/>
      <c r="AE61" s="1"/>
      <c r="AF61" s="1"/>
      <c r="AG61" s="1"/>
      <c r="AH61" s="1"/>
    </row>
    <row r="62">
      <c r="A62" s="214" t="s">
        <v>371</v>
      </c>
      <c r="B62" s="1" t="str">
        <f>IF(COUNTIF('종합'!$B$11:$G$15, A62) &gt; 0, TRUE, "")</f>
        <v/>
      </c>
      <c r="C62" s="217">
        <v>1.0</v>
      </c>
      <c r="D62" s="215"/>
      <c r="E62" s="215"/>
      <c r="F62" s="215"/>
      <c r="G62" s="217">
        <v>0.1</v>
      </c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7">
        <f>1.36/5</f>
        <v>0.272</v>
      </c>
      <c r="Y62" s="215"/>
      <c r="Z62" s="215"/>
      <c r="AA62" s="1"/>
      <c r="AB62" s="1"/>
      <c r="AC62" s="208">
        <v>0.1</v>
      </c>
      <c r="AD62" s="1"/>
      <c r="AE62" s="1"/>
      <c r="AF62" s="1"/>
      <c r="AG62" s="1"/>
      <c r="AH62" s="1"/>
    </row>
    <row r="63">
      <c r="A63" s="214" t="s">
        <v>372</v>
      </c>
      <c r="B63" s="1" t="str">
        <f>IF(COUNTIF('종합'!$B$11:$G$15, A63) &gt; 0, TRUE, "")</f>
        <v/>
      </c>
      <c r="C63" s="224">
        <v>15.0</v>
      </c>
      <c r="D63" s="215"/>
      <c r="E63" s="215"/>
      <c r="F63" s="217">
        <f>0.15+if(C63&gt;9,0.06,0)+if(C63&gt;14,0.06,0)</f>
        <v>0.27</v>
      </c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  <c r="AA63" s="25" t="s">
        <v>373</v>
      </c>
      <c r="AB63" s="25"/>
      <c r="AC63" s="1"/>
      <c r="AD63" s="1"/>
      <c r="AE63" s="1"/>
      <c r="AF63" s="1"/>
      <c r="AG63" s="1"/>
      <c r="AH63" s="1"/>
    </row>
    <row r="64">
      <c r="A64" s="214" t="s">
        <v>374</v>
      </c>
      <c r="B64" s="1" t="str">
        <f>IF(COUNTIF('종합'!$B$11:$G$15, A64) &gt; 0, TRUE, "")</f>
        <v/>
      </c>
      <c r="C64" s="224">
        <v>15.0</v>
      </c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7">
        <f>0.25/2+0.25/3+0.25/4+if(C64&gt;14,0.25/5,0)</f>
        <v>0.3208333333</v>
      </c>
      <c r="Y64" s="215"/>
      <c r="Z64" s="215"/>
      <c r="AA64" s="25" t="s">
        <v>373</v>
      </c>
      <c r="AB64" s="1"/>
      <c r="AC64" s="208">
        <v>0.3</v>
      </c>
      <c r="AD64" s="1"/>
      <c r="AE64" s="1"/>
      <c r="AF64" s="1"/>
      <c r="AG64" s="1"/>
      <c r="AH64" s="1"/>
    </row>
    <row r="65">
      <c r="A65" s="214" t="s">
        <v>62</v>
      </c>
      <c r="B65" s="1" t="b">
        <f>IF(COUNTIF('종합'!$B$11:$G$15, A65) &gt; 0, TRUE, "")</f>
        <v>1</v>
      </c>
      <c r="C65" s="225">
        <v>15.0</v>
      </c>
      <c r="D65" s="215"/>
      <c r="E65" s="217">
        <f>IF(C65&gt;14, MIN('종합'!K39*12, 5), MIN('종합'!K39*8, 5))*0.055</f>
        <v>0.275</v>
      </c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  <c r="AA65" s="25" t="s">
        <v>373</v>
      </c>
      <c r="AB65" s="1"/>
      <c r="AC65" s="1"/>
      <c r="AD65" s="1"/>
      <c r="AE65" s="1"/>
      <c r="AF65" s="1"/>
      <c r="AG65" s="1"/>
      <c r="AH65" s="1"/>
    </row>
    <row r="66">
      <c r="A66" s="214" t="s">
        <v>375</v>
      </c>
      <c r="B66" s="1" t="str">
        <f>IF(COUNTIF('종합'!$B$11:$G$15, A66) &gt; 0, TRUE, "")</f>
        <v/>
      </c>
      <c r="C66" s="224">
        <v>15.0</v>
      </c>
      <c r="D66" s="215"/>
      <c r="E66" s="215"/>
      <c r="F66" s="217">
        <f>0.16+if(C66&gt;9,0.03,0)+if(C66&gt;14,0.03,0)</f>
        <v>0.22</v>
      </c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7">
        <f>0.16</f>
        <v>0.16</v>
      </c>
      <c r="S66" s="215"/>
      <c r="T66" s="215"/>
      <c r="U66" s="215"/>
      <c r="V66" s="215"/>
      <c r="W66" s="215"/>
      <c r="X66" s="215"/>
      <c r="Y66" s="215"/>
      <c r="Z66" s="215"/>
      <c r="AA66" s="25" t="s">
        <v>373</v>
      </c>
      <c r="AB66" s="1"/>
      <c r="AC66" s="1"/>
      <c r="AD66" s="1"/>
      <c r="AE66" s="1"/>
      <c r="AF66" s="1"/>
      <c r="AG66" s="1"/>
      <c r="AH66" s="1"/>
    </row>
    <row r="67">
      <c r="A67" s="214" t="s">
        <v>376</v>
      </c>
      <c r="B67" s="1" t="str">
        <f>IF(COUNTIF('종합'!$B$11:$G$15, A67) &gt; 0, TRUE, "")</f>
        <v/>
      </c>
      <c r="C67" s="224">
        <v>15.0</v>
      </c>
      <c r="D67" s="215"/>
      <c r="E67" s="217">
        <f>IF(C67&gt;14, 0.25, 0.2)</f>
        <v>0.25</v>
      </c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5" t="s">
        <v>373</v>
      </c>
      <c r="AB67" s="1"/>
      <c r="AC67" s="1"/>
      <c r="AD67" s="1"/>
      <c r="AE67" s="1"/>
      <c r="AF67" s="1"/>
      <c r="AG67" s="1"/>
      <c r="AH67" s="1"/>
    </row>
    <row r="68">
      <c r="A68" s="214" t="s">
        <v>377</v>
      </c>
      <c r="B68" s="1" t="str">
        <f>IF(COUNTIF('종합'!$B$11:$G$15, A68) &gt; 0, TRUE, "")</f>
        <v/>
      </c>
      <c r="C68" s="217">
        <v>1.0</v>
      </c>
      <c r="D68" s="218">
        <v>0.15</v>
      </c>
      <c r="E68" s="215"/>
      <c r="F68" s="215"/>
      <c r="G68" s="215"/>
      <c r="H68" s="215"/>
      <c r="I68" s="215"/>
      <c r="J68" s="215"/>
      <c r="K68" s="215"/>
      <c r="L68" s="215"/>
      <c r="M68" s="215"/>
      <c r="N68" s="226">
        <v>0.15</v>
      </c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5" t="s">
        <v>378</v>
      </c>
      <c r="AB68" s="1"/>
      <c r="AC68" s="1"/>
      <c r="AD68" s="1"/>
      <c r="AE68" s="1"/>
      <c r="AF68" s="1"/>
      <c r="AG68" s="1"/>
      <c r="AH68" s="1"/>
    </row>
    <row r="69">
      <c r="A69" s="214" t="s">
        <v>379</v>
      </c>
      <c r="B69" s="1" t="str">
        <f>IF(COUNTIF('종합'!$B$11:$G$15, A69) &gt; 0, TRUE, "")</f>
        <v/>
      </c>
      <c r="C69" s="217">
        <v>1.0</v>
      </c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7">
        <f>3.6/15+3.6/'종합'!C3*'종합'!C5</f>
        <v>0.3</v>
      </c>
      <c r="Y69" s="215"/>
      <c r="Z69" s="215"/>
      <c r="AA69" s="25" t="s">
        <v>380</v>
      </c>
      <c r="AB69" s="1"/>
      <c r="AC69" s="208">
        <v>0.02</v>
      </c>
      <c r="AD69" s="1"/>
      <c r="AE69" s="1"/>
      <c r="AF69" s="1"/>
      <c r="AG69" s="1"/>
      <c r="AH69" s="1"/>
    </row>
    <row r="70">
      <c r="A70" s="25" t="s">
        <v>290</v>
      </c>
      <c r="B70" s="1" t="str">
        <f>IF(COUNTIF('종합'!$B$11:$G$15, A70) &gt; 0, TRUE, "")</f>
        <v/>
      </c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  <c r="AB70" s="215"/>
      <c r="AC70" s="215"/>
      <c r="AD70" s="1"/>
      <c r="AE70" s="1"/>
      <c r="AF70" s="1"/>
      <c r="AG70" s="1"/>
      <c r="AH70" s="1"/>
    </row>
    <row r="71">
      <c r="A71" s="207" t="s">
        <v>381</v>
      </c>
      <c r="B71" s="1" t="str">
        <f>IF(COUNTIF('종합'!$B$11:$G$15, A71) &gt; 0, TRUE, "")</f>
        <v/>
      </c>
      <c r="C71" s="217">
        <v>1.0</v>
      </c>
      <c r="D71" s="217">
        <f t="array" ref="D71">0.15+IF(SUMPRODUCT(('종합'!$B$11:$G$15=INDIRECT("A"&amp;ROW())) * ('종합'!$C$11:$H$15="초월+")), 0.02, 0)+IF(SUMPRODUCT(('종합'!$B$11:$G$15=INDIRECT("A"&amp;ROW())) * ('종합'!$C$11:$H$15="초월++")), 0.04, 0)</f>
        <v>0.15</v>
      </c>
      <c r="E71" s="21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1"/>
      <c r="AB71" s="1"/>
      <c r="AC71" s="1"/>
      <c r="AD71" s="1"/>
      <c r="AE71" s="1"/>
      <c r="AF71" s="1"/>
      <c r="AG71" s="1"/>
      <c r="AH71" s="1"/>
    </row>
    <row r="72">
      <c r="A72" s="207" t="s">
        <v>382</v>
      </c>
      <c r="B72" s="209" t="str">
        <f>IF(COUNTIF('종합'!$B$11:$G$15, A72) &gt; 0, TRUE, "")</f>
        <v/>
      </c>
      <c r="C72" s="219">
        <v>1.0</v>
      </c>
      <c r="D72" s="219">
        <f t="array" ref="D72">0.15+IF(SUMPRODUCT(('종합'!$B$11:$G$15=INDIRECT("A"&amp;ROW())) * ('종합'!$C$11:$H$15="초월+")), 0.02, 0)+IF(SUMPRODUCT(('종합'!$B$11:$G$15=INDIRECT("A"&amp;ROW())) * ('종합'!$C$11:$H$15="초월++")), 0.04, 0)</f>
        <v>0.15</v>
      </c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11"/>
      <c r="AB72" s="211"/>
      <c r="AC72" s="211"/>
      <c r="AD72" s="1"/>
      <c r="AE72" s="1"/>
      <c r="AF72" s="1"/>
      <c r="AG72" s="1"/>
      <c r="AH72" s="1"/>
    </row>
    <row r="73">
      <c r="A73" s="207" t="s">
        <v>383</v>
      </c>
      <c r="B73" s="209" t="str">
        <f>IF(COUNTIF('종합'!$B$11:$G$15, A73) &gt; 0, TRUE, "")</f>
        <v/>
      </c>
      <c r="C73" s="219">
        <v>1.0</v>
      </c>
      <c r="D73" s="219">
        <f t="array" ref="D73">0.15+IF(SUMPRODUCT(('종합'!$B$11:$G$15=INDIRECT("A"&amp;ROW())) * ('종합'!$C$11:$H$15="초월+")), 0.02, 0)+IF(SUMPRODUCT(('종합'!$B$11:$G$15=INDIRECT("A"&amp;ROW())) * ('종합'!$C$11:$H$15="초월++")), 0.04, 0)</f>
        <v>0.15</v>
      </c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11"/>
      <c r="AB73" s="211"/>
      <c r="AC73" s="211"/>
      <c r="AD73" s="1"/>
      <c r="AE73" s="1"/>
      <c r="AF73" s="1"/>
      <c r="AG73" s="1"/>
      <c r="AH73" s="1"/>
    </row>
    <row r="74">
      <c r="A74" s="207" t="s">
        <v>384</v>
      </c>
      <c r="B74" s="209" t="str">
        <f>IF(COUNTIF('종합'!$B$11:$G$15, A74) &gt; 0, TRUE, "")</f>
        <v/>
      </c>
      <c r="C74" s="219">
        <v>1.0</v>
      </c>
      <c r="D74" s="219">
        <f t="array" ref="D74">0.15+IF(SUMPRODUCT(('종합'!$B$11:$G$15=INDIRECT("A"&amp;ROW())) * ('종합'!$C$11:$H$15="초월+")), 0.02, 0)+IF(SUMPRODUCT(('종합'!$B$11:$G$15=INDIRECT("A"&amp;ROW())) * ('종합'!$C$11:$H$15="초월++")), 0.04, 0)</f>
        <v>0.15</v>
      </c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11"/>
      <c r="AB74" s="211"/>
      <c r="AC74" s="211"/>
      <c r="AD74" s="1"/>
      <c r="AE74" s="1"/>
      <c r="AF74" s="1"/>
      <c r="AG74" s="1"/>
      <c r="AH74" s="1"/>
    </row>
    <row r="75">
      <c r="A75" s="207" t="s">
        <v>385</v>
      </c>
      <c r="B75" s="1" t="str">
        <f>IF(COUNTIF('종합'!$B$11:$G$15, A75) &gt; 0, TRUE, "")</f>
        <v/>
      </c>
      <c r="C75" s="217">
        <v>1.0</v>
      </c>
      <c r="D75" s="217">
        <f t="array" ref="D75">0.15+IF(SUMPRODUCT(('종합'!$B$11:$G$15=INDIRECT("A"&amp;ROW())) * ('종합'!$C$11:$H$15="초월+")), 0.02, 0)+IF(SUMPRODUCT(('종합'!$B$11:$G$15=INDIRECT("A"&amp;ROW())) * ('종합'!$C$11:$H$15="초월++")), 0.04, 0)</f>
        <v>0.15</v>
      </c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  <c r="AA75" s="1"/>
      <c r="AB75" s="1"/>
      <c r="AC75" s="1"/>
      <c r="AD75" s="1"/>
      <c r="AE75" s="1"/>
      <c r="AF75" s="1"/>
      <c r="AG75" s="1"/>
      <c r="AH75" s="1"/>
    </row>
    <row r="76">
      <c r="A76" s="227" t="s">
        <v>386</v>
      </c>
      <c r="B76" s="1" t="str">
        <f>IF(COUNTIF('종합'!$B$11:$G$15, A76) &gt; 0, TRUE, "")</f>
        <v/>
      </c>
      <c r="C76" s="151">
        <f>'종합'!$I$3*15</f>
        <v>75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51">
        <f>(1.705+0.0178*C76)/15+'종합'!$I$3 * 0.76 / 100</f>
        <v>0.2406666667</v>
      </c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A77" s="227" t="s">
        <v>387</v>
      </c>
      <c r="B77" s="1" t="str">
        <f>IF(COUNTIF('종합'!$B$11:$G$15, A77) &gt; 0, TRUE, "")</f>
        <v/>
      </c>
      <c r="C77" s="151">
        <f>'종합'!$I$3*15</f>
        <v>75</v>
      </c>
      <c r="D77" s="1"/>
      <c r="E77" s="151">
        <f>0.05+(C77*0.0004)</f>
        <v>0.08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51">
        <f>(0.761+0.01*C76)/15+'종합'!$I$3 * 0.76 / 100</f>
        <v>0.1387333333</v>
      </c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A78" s="227" t="s">
        <v>388</v>
      </c>
      <c r="B78" s="1" t="str">
        <f>IF(COUNTIF('종합'!$B$11:$G$15, A78) &gt; 0, TRUE, "")</f>
        <v/>
      </c>
      <c r="C78" s="151">
        <f>'종합'!$I$3*15</f>
        <v>75</v>
      </c>
      <c r="D78" s="1"/>
      <c r="E78" s="1"/>
      <c r="F78" s="1"/>
      <c r="G78" s="1"/>
      <c r="H78" s="1"/>
      <c r="I78" s="1"/>
      <c r="J78" s="1"/>
      <c r="K78" s="151">
        <f>MIN(0.32, (C78 / 750) * 0.32)</f>
        <v>0.032</v>
      </c>
      <c r="L78" s="1"/>
      <c r="M78" s="1"/>
      <c r="N78" s="1"/>
      <c r="O78" s="1"/>
      <c r="P78" s="151">
        <f t="array" ref="P78">0.08+IF(SUMPRODUCT(('종합'!$B$11:$G$15=INDIRECT("A"&amp;ROW())) * ('종합'!$C$11:$H$15="초월+")), 0.02, 0)+IF(SUMPRODUCT(('종합'!$B$11:$G$15=INDIRECT("A"&amp;ROW())) * ('종합'!$C$11:$H$15="초월++")), 0.04, 0)+(C78*0.0009)</f>
        <v>0.1475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A79" s="227" t="s">
        <v>55</v>
      </c>
      <c r="B79" s="209" t="b">
        <f>IF(COUNTIF('종합'!$B$11:$G$15, A79) &gt; 0, TRUE, "")</f>
        <v>1</v>
      </c>
      <c r="C79" s="151">
        <f>'종합'!$I$3*15</f>
        <v>75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51">
        <f t="array" ref="O79">0.08+IF(SUMPRODUCT(('종합'!$B$11:$G$15=INDIRECT("A"&amp;ROW())) * ('종합'!$C$11:$H$15="초월+")), 0.02, 0)+IF(SUMPRODUCT(('종합'!$B$11:$G$15=INDIRECT("A"&amp;ROW())) * ('종합'!$C$11:$H$15="초월++")), 0.04, 0)+(C79*0.0009)</f>
        <v>0.1675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51">
        <f>MIN(0.3, (C79 / 750) * 0.3)</f>
        <v>0.03</v>
      </c>
      <c r="AC79" s="1"/>
      <c r="AD79" s="1"/>
      <c r="AE79" s="1"/>
      <c r="AF79" s="1"/>
      <c r="AG79" s="1"/>
      <c r="AH79" s="1"/>
    </row>
    <row r="80">
      <c r="A80" s="227" t="s">
        <v>389</v>
      </c>
      <c r="B80" s="1" t="str">
        <f>IF(COUNTIF('종합'!$B$11:$G$15, A80) &gt; 0, TRUE, "")</f>
        <v/>
      </c>
      <c r="C80" s="151">
        <f>'종합'!$I$3*15</f>
        <v>75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51">
        <f>0.06+(C80*0.0006)</f>
        <v>0.105</v>
      </c>
      <c r="R80" s="1"/>
      <c r="S80" s="1"/>
      <c r="T80" s="151">
        <f>0.06+(C80*0.0006)</f>
        <v>0.105</v>
      </c>
      <c r="U80" s="151">
        <f>0.06+(C80*0.0006)</f>
        <v>0.105</v>
      </c>
      <c r="V80" s="1"/>
      <c r="W80" s="1"/>
      <c r="X80" s="151">
        <f>'종합'!$I$3 * 0.76 / 100</f>
        <v>0.038</v>
      </c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227" t="s">
        <v>390</v>
      </c>
      <c r="B81" s="1" t="str">
        <f>IF(COUNTIF('종합'!$B$11:$G$15, A81) &gt; 0, TRUE, "")</f>
        <v/>
      </c>
      <c r="C81" s="151">
        <f>'종합'!$I$3*15</f>
        <v>75</v>
      </c>
      <c r="D81" s="1"/>
      <c r="E81" s="1"/>
      <c r="F81" s="151">
        <f t="array" ref="F81">0.09+IF(SUMPRODUCT(('종합'!$B$11:$G$15=INDIRECT("A"&amp;ROW())) * ('종합'!$C$11:$H$15="초월+")), 0.02, 0)+(C81*0.0009)</f>
        <v>0.1575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51">
        <f>'종합'!$I$3 * 0.76 / 100</f>
        <v>0.038</v>
      </c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228" t="s">
        <v>391</v>
      </c>
      <c r="B82" s="1" t="str">
        <f>IF(COUNTIF('종합'!$B$11:$G$15, A82) &gt; 0, TRUE, "")</f>
        <v/>
      </c>
      <c r="C82" s="217">
        <v>1.0</v>
      </c>
      <c r="D82" s="215"/>
      <c r="E82" s="215"/>
      <c r="F82" s="226">
        <v>0.15</v>
      </c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26">
        <v>0.15</v>
      </c>
      <c r="U82" s="226">
        <v>0.15</v>
      </c>
      <c r="V82" s="215"/>
      <c r="W82" s="215"/>
      <c r="X82" s="217"/>
      <c r="Y82" s="215"/>
      <c r="Z82" s="226">
        <v>0.15</v>
      </c>
      <c r="AA82" s="25"/>
      <c r="AB82" s="1"/>
      <c r="AC82" s="208"/>
      <c r="AD82" s="1"/>
      <c r="AE82" s="1"/>
      <c r="AF82" s="1"/>
      <c r="AG82" s="1"/>
      <c r="AH82" s="1"/>
    </row>
    <row r="83">
      <c r="A83" s="216" t="s">
        <v>69</v>
      </c>
      <c r="B83" s="1" t="b">
        <f>IF(COUNTIF('종합'!$B$11:$G$15, A83) &gt; 0, TRUE, "")</f>
        <v>1</v>
      </c>
      <c r="C83" s="5">
        <v>1.0</v>
      </c>
      <c r="D83" s="1"/>
      <c r="E83" s="1"/>
      <c r="F83" s="1"/>
      <c r="G83" s="1"/>
      <c r="H83" s="1"/>
      <c r="I83" s="1">
        <f>C83*(0.06*2.1)</f>
        <v>0.126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</sheetData>
  <conditionalFormatting sqref="B2:B75 C2:AC69 C71:AC75 B82:AC82">
    <cfRule type="expression" dxfId="3" priority="1">
      <formula>$B2=TRUE</formula>
    </cfRule>
  </conditionalFormatting>
  <conditionalFormatting sqref="B83">
    <cfRule type="notContainsBlanks" dxfId="3" priority="2">
      <formula>LEN(TRIM(B83))&gt;0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9" width="7.63"/>
  </cols>
  <sheetData>
    <row r="1">
      <c r="A1" s="25" t="s">
        <v>392</v>
      </c>
      <c r="B1" s="25" t="s">
        <v>229</v>
      </c>
      <c r="C1" s="25" t="s">
        <v>230</v>
      </c>
      <c r="D1" s="25" t="s">
        <v>231</v>
      </c>
      <c r="E1" s="25" t="s">
        <v>232</v>
      </c>
      <c r="F1" s="25" t="s">
        <v>233</v>
      </c>
      <c r="G1" s="25" t="s">
        <v>234</v>
      </c>
      <c r="H1" s="25" t="s">
        <v>235</v>
      </c>
      <c r="I1" s="25" t="s">
        <v>236</v>
      </c>
      <c r="J1" s="25" t="s">
        <v>237</v>
      </c>
      <c r="K1" s="25" t="s">
        <v>238</v>
      </c>
      <c r="L1" s="25" t="s">
        <v>239</v>
      </c>
      <c r="M1" s="25" t="s">
        <v>240</v>
      </c>
      <c r="N1" s="25" t="s">
        <v>241</v>
      </c>
      <c r="O1" s="25" t="s">
        <v>242</v>
      </c>
      <c r="P1" s="25" t="s">
        <v>243</v>
      </c>
      <c r="Q1" s="25" t="s">
        <v>244</v>
      </c>
      <c r="R1" s="25" t="s">
        <v>245</v>
      </c>
      <c r="S1" s="25" t="s">
        <v>246</v>
      </c>
      <c r="T1" s="25" t="s">
        <v>247</v>
      </c>
      <c r="U1" s="25" t="s">
        <v>248</v>
      </c>
      <c r="V1" s="25" t="s">
        <v>249</v>
      </c>
      <c r="W1" s="25" t="s">
        <v>250</v>
      </c>
      <c r="X1" s="25" t="s">
        <v>251</v>
      </c>
      <c r="Y1" s="25" t="s">
        <v>252</v>
      </c>
      <c r="Z1" s="25" t="s">
        <v>253</v>
      </c>
      <c r="AA1" s="25" t="s">
        <v>118</v>
      </c>
      <c r="AB1" s="25" t="str">
        <f>IFERROR(__xludf.DUMMYFUNCTION("FILTER(AB2:AB1000, B2:B1000=TRUE)"),"각성")</f>
        <v>각성</v>
      </c>
      <c r="AC1" s="1"/>
      <c r="AD1" s="1"/>
      <c r="AE1" s="1"/>
      <c r="AF1" s="1"/>
      <c r="AG1" s="1"/>
      <c r="AH1" s="1"/>
      <c r="AI1" s="1"/>
      <c r="AJ1" s="1"/>
    </row>
    <row r="2">
      <c r="A2" s="207" t="s">
        <v>393</v>
      </c>
      <c r="B2" s="25" t="str">
        <f>IF(COUNTIF('종합'!$B$11:$G$15, A2) &gt; 0, TRUE, "")</f>
        <v/>
      </c>
      <c r="C2" s="208">
        <v>1.0</v>
      </c>
      <c r="D2" s="1"/>
      <c r="E2" s="1"/>
      <c r="F2" s="1"/>
      <c r="G2" s="1"/>
      <c r="H2" s="1"/>
      <c r="I2" s="1"/>
      <c r="J2" s="1"/>
      <c r="K2" s="208">
        <v>0.3</v>
      </c>
      <c r="L2" s="1"/>
      <c r="M2" s="1"/>
      <c r="N2" s="1"/>
      <c r="O2" s="1"/>
      <c r="P2" s="208">
        <v>0.1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207" t="s">
        <v>394</v>
      </c>
      <c r="B3" s="25" t="str">
        <f>IF(COUNTIF('종합'!$B$11:$G$15, A3) &gt; 0, TRUE, "")</f>
        <v/>
      </c>
      <c r="C3" s="208">
        <v>1.0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5" t="s">
        <v>395</v>
      </c>
      <c r="AB3" s="1"/>
      <c r="AC3" s="1"/>
      <c r="AD3" s="1"/>
      <c r="AE3" s="1"/>
      <c r="AF3" s="1"/>
      <c r="AG3" s="1"/>
      <c r="AH3" s="1"/>
      <c r="AI3" s="1"/>
      <c r="AJ3" s="1"/>
    </row>
    <row r="4">
      <c r="A4" s="207" t="s">
        <v>396</v>
      </c>
      <c r="B4" s="25" t="str">
        <f>IF(COUNTIF('종합'!$B$11:$G$15, A4) &gt; 0, TRUE, "")</f>
        <v/>
      </c>
      <c r="C4" s="208">
        <f>((FLOOR('종합'!C3 / (90 - '방어구룬'!$AB$33),1) * 20) + MIN(MOD('종합'!C3, (90 - '방어구룬'!$AB$33)), 20)) / '종합'!C3</f>
        <v>0.3333333333</v>
      </c>
      <c r="D4" s="1"/>
      <c r="E4" s="1"/>
      <c r="F4" s="208">
        <f t="array" ref="F4">0.21+IF(SUMPRODUCT(('종합'!$B$11:$G$15=INDIRECT("A"&amp;ROW())) * ('종합'!$C$11:$H$15="초월+")), 0.02, 0)+(0.55*C4)</f>
        <v>0.3933333333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5" t="s">
        <v>397</v>
      </c>
      <c r="AB4" s="25" t="s">
        <v>398</v>
      </c>
      <c r="AC4" s="1"/>
      <c r="AD4" s="1"/>
      <c r="AE4" s="1"/>
      <c r="AF4" s="1"/>
      <c r="AG4" s="1"/>
      <c r="AH4" s="1"/>
      <c r="AI4" s="1"/>
      <c r="AJ4" s="1"/>
    </row>
    <row r="5">
      <c r="A5" s="207" t="s">
        <v>399</v>
      </c>
      <c r="B5" s="25" t="str">
        <f>IF(COUNTIF('종합'!$B$11:$G$15, A5) &gt; 0, TRUE, "")</f>
        <v/>
      </c>
      <c r="C5" s="151">
        <f>MAX(0, 30 - '스킬 및 딜사이클'!$Y$3)*'종합'!C5/'종합'!C3</f>
        <v>0.225</v>
      </c>
      <c r="D5" s="1"/>
      <c r="E5" s="1"/>
      <c r="F5" s="208">
        <f t="array" ref="F5">(0.27+IF(SUMPRODUCT(('종합'!$B$11:$G$15=INDIRECT("A"&amp;ROW())) * ('종합'!$C$11:$H$15="초월+")), 0.02, 0))*C5</f>
        <v>0.06075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08">
        <v>0.2</v>
      </c>
      <c r="X5" s="1"/>
      <c r="Y5" s="1"/>
      <c r="Z5" s="1"/>
      <c r="AA5" s="25" t="s">
        <v>400</v>
      </c>
      <c r="AB5" s="1"/>
      <c r="AC5" s="1"/>
      <c r="AD5" s="1"/>
      <c r="AE5" s="1"/>
      <c r="AF5" s="1"/>
      <c r="AG5" s="1"/>
      <c r="AH5" s="1"/>
      <c r="AI5" s="1"/>
      <c r="AJ5" s="1"/>
    </row>
    <row r="6">
      <c r="A6" s="207" t="s">
        <v>401</v>
      </c>
      <c r="B6" s="25" t="str">
        <f>IF(COUNTIF('종합'!$B$11:$G$15, A6) &gt; 0, TRUE, "")</f>
        <v/>
      </c>
      <c r="C6" s="208">
        <f>((FLOOR('종합'!C3 / (90 - '방어구룬'!$AB$33),1) * 20) + MIN(MOD('종합'!C3, (90 - '방어구룬'!$AB$33)), 20)) / '종합'!C3</f>
        <v>0.3333333333</v>
      </c>
      <c r="D6" s="1"/>
      <c r="E6" s="1"/>
      <c r="F6" s="1"/>
      <c r="G6" s="1"/>
      <c r="H6" s="1"/>
      <c r="I6" s="151">
        <f t="array" ref="I6">0.08+IF(SUMPRODUCT(('종합'!$B$11:$G$15=INDIRECT("A"&amp;ROW())) * ('종합'!$C$11:$H$15="초월+")), 0.02, 0)+(0.6*C6)</f>
        <v>0.28</v>
      </c>
      <c r="J6" s="1"/>
      <c r="K6" s="1"/>
      <c r="L6" s="1"/>
      <c r="M6" s="1"/>
      <c r="N6" s="1"/>
      <c r="O6" s="1"/>
      <c r="P6" s="1"/>
      <c r="Q6" s="1"/>
      <c r="R6" s="1"/>
      <c r="S6" s="208">
        <f t="array" ref="S6">0.08+IF(SUMPRODUCT(('종합'!$B$11:$G$15=INDIRECT("A"&amp;ROW())) * ('종합'!$C$11:$H$15="초월+")), 0.02, 0)</f>
        <v>0.08</v>
      </c>
      <c r="T6" s="1"/>
      <c r="U6" s="1"/>
      <c r="V6" s="1"/>
      <c r="W6" s="1"/>
      <c r="X6" s="151">
        <f>(0.29/((1/('종합'!K39+'종합'!I40))/C6))*0.7</f>
        <v>0.04098549909</v>
      </c>
      <c r="Y6" s="1"/>
      <c r="Z6" s="1"/>
      <c r="AA6" s="1"/>
      <c r="AB6" s="25" t="s">
        <v>398</v>
      </c>
      <c r="AC6" s="1"/>
      <c r="AD6" s="1"/>
      <c r="AE6" s="1"/>
      <c r="AF6" s="1"/>
      <c r="AG6" s="1"/>
      <c r="AH6" s="1"/>
      <c r="AI6" s="1"/>
      <c r="AJ6" s="1"/>
    </row>
    <row r="7">
      <c r="A7" s="207" t="s">
        <v>402</v>
      </c>
      <c r="B7" s="25" t="str">
        <f>IF(COUNTIF('종합'!$B$11:$G$15, A7) &gt; 0, TRUE, "")</f>
        <v/>
      </c>
      <c r="C7" s="151">
        <f>MAX(0, 15 - '스킬 및 딜사이클'!$Y$3)*'종합'!C5/'종합'!C3</f>
        <v>0</v>
      </c>
      <c r="D7" s="1"/>
      <c r="E7" s="151">
        <f>0.08*C7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25" t="s">
        <v>403</v>
      </c>
      <c r="AB7" s="1"/>
      <c r="AC7" s="1"/>
      <c r="AD7" s="1"/>
      <c r="AE7" s="1"/>
      <c r="AF7" s="1"/>
      <c r="AG7" s="1"/>
      <c r="AH7" s="1"/>
      <c r="AI7" s="1"/>
      <c r="AJ7" s="1"/>
    </row>
    <row r="8">
      <c r="A8" s="207" t="s">
        <v>404</v>
      </c>
      <c r="B8" s="25" t="str">
        <f>IF(COUNTIF('종합'!$B$11:$G$15, A8) &gt; 0, TRUE, "")</f>
        <v/>
      </c>
      <c r="C8" s="208">
        <f>((FLOOR('종합'!C3 / (90 - '방어구룬'!$AB$33),1) * 20) + MIN(MOD('종합'!C3, (90 - '방어구룬'!$AB$33)), 20)) / '종합'!C3</f>
        <v>0.3333333333</v>
      </c>
      <c r="D8" s="1"/>
      <c r="E8" s="151">
        <f t="array" ref="E8">(0.45+IF(SUMPRODUCT(('종합'!$B$11:$G$15=INDIRECT("A"&amp;ROW())) * ('종합'!$C$11:$H$15="초월+")), 0.1, 0))*C8</f>
        <v>0.15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08">
        <v>0.14</v>
      </c>
      <c r="R8" s="1"/>
      <c r="S8" s="1"/>
      <c r="T8" s="151">
        <f>0.14+(0.25*C8)</f>
        <v>0.2233333333</v>
      </c>
      <c r="U8" s="1"/>
      <c r="V8" s="1"/>
      <c r="W8" s="1"/>
      <c r="X8" s="1"/>
      <c r="Y8" s="1"/>
      <c r="Z8" s="1"/>
      <c r="AA8" s="25" t="s">
        <v>405</v>
      </c>
      <c r="AB8" s="25" t="s">
        <v>398</v>
      </c>
      <c r="AC8" s="1"/>
      <c r="AD8" s="1"/>
      <c r="AE8" s="1"/>
      <c r="AF8" s="1"/>
      <c r="AG8" s="1"/>
      <c r="AH8" s="1"/>
      <c r="AI8" s="1"/>
      <c r="AJ8" s="1"/>
    </row>
    <row r="9">
      <c r="A9" s="207" t="s">
        <v>406</v>
      </c>
      <c r="B9" s="25" t="str">
        <f>IF(COUNTIF('종합'!$B$11:$G$15, A9) &gt; 0, TRUE, "")</f>
        <v/>
      </c>
      <c r="C9" s="208">
        <f>((FLOOR('종합'!C3 / (90 - '방어구룬'!$AB$33),1) * 35) + MIN(MOD('종합'!C3, (90 - '방어구룬'!$AB$33)), 35)) / '종합'!C3</f>
        <v>0.5416666667</v>
      </c>
      <c r="D9" s="1"/>
      <c r="E9" s="151">
        <f t="array" ref="E9">(0.35+IF(SUMPRODUCT(('종합'!$B$11:$G$15=INDIRECT("A"&amp;ROW())) * ('종합'!$C$11:$H$15="초월+")), 0.1, 0))*C9</f>
        <v>0.1895833333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208">
        <f>0.24+(0.2*C9)</f>
        <v>0.3483333333</v>
      </c>
      <c r="V9" s="208">
        <f>0.24+(0.2*C9)</f>
        <v>0.3483333333</v>
      </c>
      <c r="W9" s="1"/>
      <c r="X9" s="1"/>
      <c r="Y9" s="1"/>
      <c r="Z9" s="1"/>
      <c r="AA9" s="1"/>
      <c r="AB9" s="25" t="s">
        <v>398</v>
      </c>
      <c r="AC9" s="1"/>
      <c r="AD9" s="1"/>
      <c r="AE9" s="1"/>
      <c r="AF9" s="1"/>
      <c r="AG9" s="1"/>
      <c r="AH9" s="1"/>
      <c r="AI9" s="1"/>
      <c r="AJ9" s="1"/>
    </row>
    <row r="10">
      <c r="A10" s="207" t="s">
        <v>407</v>
      </c>
      <c r="B10" s="25" t="str">
        <f>IF(COUNTIF('종합'!$B$11:$G$15, A10) &gt; 0, TRUE, "")</f>
        <v/>
      </c>
      <c r="C10" s="208">
        <f>((FLOOR('종합'!C3 / (90 - '방어구룬'!$AB$33),1) * 20) + MIN(MOD('종합'!C3, (90 - '방어구룬'!$AB$33)), 20)) / '종합'!C3</f>
        <v>0.3333333333</v>
      </c>
      <c r="D10" s="1"/>
      <c r="E10" s="1"/>
      <c r="F10" s="1"/>
      <c r="G10" s="1"/>
      <c r="H10" s="208">
        <f t="array" ref="H10">0.08+IF(SUMPRODUCT(('종합'!$B$11:$G$15=INDIRECT("A"&amp;ROW())) * ('종합'!$C$11:$H$15="초월+")), 0.02, 0)+IF(SUMPRODUCT(('종합'!$B$11:$G$15=INDIRECT("A"&amp;ROW())) * ('종합'!$C$11:$H$15="초월++")), 0.02, 0)+((0.6+IF(SUMPRODUCT(('종합'!$B$11:$G$15=INDIRECT("A"&amp;ROW())) * ('종합'!$C$11:$H$15="초월++")), 0.15, 0))*C10)</f>
        <v>0.28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08">
        <f t="array" ref="T10">0.08+IF(SUMPRODUCT(('종합'!$B$11:$G$15=INDIRECT("A"&amp;ROW())) * ('종합'!$C$11:$H$15="초월+")), 0.02, 0)+IF(SUMPRODUCT(('종합'!$B$11:$G$15=INDIRECT("A"&amp;ROW())) * ('종합'!$C$11:$H$15="초월++")), 0.02, 0)</f>
        <v>0.08</v>
      </c>
      <c r="U10" s="1"/>
      <c r="V10" s="1"/>
      <c r="W10" s="1"/>
      <c r="X10" s="151">
        <f>1.55/(3/C10)</f>
        <v>0.1722222222</v>
      </c>
      <c r="Y10" s="1"/>
      <c r="Z10" s="1"/>
      <c r="AA10" s="1"/>
      <c r="AB10" s="25" t="s">
        <v>398</v>
      </c>
      <c r="AC10" s="1"/>
      <c r="AD10" s="1"/>
      <c r="AE10" s="1"/>
      <c r="AF10" s="1"/>
      <c r="AG10" s="1"/>
      <c r="AH10" s="1"/>
      <c r="AI10" s="1"/>
      <c r="AJ10" s="1"/>
    </row>
    <row r="11">
      <c r="A11" s="207" t="s">
        <v>67</v>
      </c>
      <c r="B11" s="229" t="b">
        <f>IF(COUNTIF('종합'!$B$11:$G$15, A11) &gt; 0, TRUE, "")</f>
        <v>1</v>
      </c>
      <c r="C11" s="210">
        <f>((FLOOR('종합'!C3 / (90 - '방어구룬'!$AB$33),1) * 20) + MIN(MOD('종합'!C3, (90 - '방어구룬'!$AB$33)), 20)) / '종합'!C3</f>
        <v>0.3333333333</v>
      </c>
      <c r="D11" s="211"/>
      <c r="E11" s="211"/>
      <c r="F11" s="210">
        <f t="array" ref="F11">0.05+IF(SUMPRODUCT(('종합'!$B$11:$G$15=INDIRECT("A"&amp;ROW())) * ('종합'!$C$11:$H$15="초월+")), 0.02, 0)+IF(SUMPRODUCT(('종합'!$B$11:$G$15=INDIRECT("A"&amp;ROW())) * ('종합'!$C$11:$H$15="초월++")), 0.02, 0)</f>
        <v>0.07</v>
      </c>
      <c r="G11" s="211"/>
      <c r="H11" s="211"/>
      <c r="I11" s="211"/>
      <c r="J11" s="211"/>
      <c r="K11" s="210">
        <f t="array" ref="K11">0.1+((0.5+IF(SUMPRODUCT(('종합'!$B$11:$G$15=INDIRECT("A"&amp;ROW())) * ('종합'!$C$11:$H$15="초월++")), 0.12, 0))*C11)</f>
        <v>0.3066666667</v>
      </c>
      <c r="L11" s="211"/>
      <c r="M11" s="211"/>
      <c r="N11" s="211"/>
      <c r="O11" s="211"/>
      <c r="P11" s="210">
        <f>0.05+(0.2*C11)</f>
        <v>0.1166666667</v>
      </c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5" t="s">
        <v>398</v>
      </c>
      <c r="AC11" s="1"/>
      <c r="AD11" s="1"/>
      <c r="AE11" s="1"/>
      <c r="AF11" s="1"/>
      <c r="AG11" s="1"/>
      <c r="AH11" s="1"/>
      <c r="AI11" s="1"/>
      <c r="AJ11" s="1"/>
    </row>
    <row r="12">
      <c r="A12" s="207" t="s">
        <v>408</v>
      </c>
      <c r="B12" s="25" t="str">
        <f>IF(COUNTIF('종합'!$B$11:$G$15, A12) &gt; 0, TRUE, "")</f>
        <v/>
      </c>
      <c r="C12" s="208">
        <f>((FLOOR('종합'!C3 / (90 - '방어구룬'!$AB$33),1) * 35) + MIN(MOD('종합'!C3, (90 - '방어구룬'!$AB$33)), 35)) / '종합'!C3</f>
        <v>0.5416666667</v>
      </c>
      <c r="D12" s="1"/>
      <c r="E12" s="1"/>
      <c r="F12" s="1"/>
      <c r="G12" s="1"/>
      <c r="H12" s="1"/>
      <c r="I12" s="1"/>
      <c r="J12" s="151">
        <f t="array" ref="J12">(0.18+IF(SUMPRODUCT(('종합'!$B$11:$G$15=INDIRECT("A"&amp;ROW())) * ('종합'!$C$11:$H$15="초월++")), 0.05, 0))*C12</f>
        <v>0.0975</v>
      </c>
      <c r="K12" s="1"/>
      <c r="L12" s="1"/>
      <c r="M12" s="1"/>
      <c r="N12" s="1"/>
      <c r="O12" s="151">
        <f t="array" ref="O12">0.12+IF(SUMPRODUCT(('종합'!$B$11:$G$15=INDIRECT("A"&amp;ROW())) * ('종합'!$C$11:$H$15="초월+")), 0.02, 0)+IF(SUMPRODUCT(('종합'!$B$11:$G$15=INDIRECT("A"&amp;ROW())) * ('종합'!$C$11:$H$15="초월++")), 0.02, 0)+(0.3*C12)</f>
        <v>0.2825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25" t="s">
        <v>398</v>
      </c>
      <c r="AC12" s="1"/>
      <c r="AD12" s="1"/>
      <c r="AE12" s="1"/>
      <c r="AF12" s="1"/>
      <c r="AG12" s="1"/>
      <c r="AH12" s="1"/>
      <c r="AI12" s="1"/>
      <c r="AJ12" s="1"/>
    </row>
    <row r="13">
      <c r="A13" s="25" t="s">
        <v>409</v>
      </c>
      <c r="B13" s="25" t="str">
        <f>IF(COUNTIF('종합'!$B$11:$G$15, A13) &gt; 0, TRUE, "")</f>
        <v/>
      </c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1"/>
      <c r="AE13" s="1"/>
      <c r="AF13" s="1"/>
      <c r="AG13" s="1"/>
      <c r="AH13" s="1"/>
      <c r="AI13" s="1"/>
      <c r="AJ13" s="1"/>
    </row>
    <row r="14">
      <c r="A14" s="101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"/>
      <c r="P14" s="1"/>
      <c r="Q14" s="1"/>
      <c r="R14" s="1"/>
      <c r="S14" s="74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>
      <c r="A15" s="101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"/>
      <c r="P15" s="1"/>
      <c r="Q15" s="1"/>
      <c r="R15" s="1"/>
      <c r="S15" s="74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>
      <c r="A16" s="101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"/>
      <c r="P16" s="1"/>
      <c r="Q16" s="1"/>
      <c r="R16" s="1"/>
      <c r="S16" s="74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>
      <c r="A17" s="101"/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"/>
      <c r="P17" s="1"/>
      <c r="Q17" s="1"/>
      <c r="R17" s="1"/>
      <c r="S17" s="74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"/>
      <c r="P18" s="1"/>
      <c r="Q18" s="1"/>
      <c r="R18" s="1"/>
      <c r="S18" s="74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>
      <c r="A19" s="101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"/>
      <c r="P19" s="1"/>
      <c r="Q19" s="1"/>
      <c r="R19" s="1"/>
      <c r="S19" s="74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>
      <c r="A20" s="101"/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"/>
      <c r="P20" s="1"/>
      <c r="Q20" s="1"/>
      <c r="R20" s="1"/>
      <c r="S20" s="74"/>
      <c r="T20" s="1"/>
      <c r="U20" s="1"/>
      <c r="V20" s="1"/>
      <c r="W20" s="1"/>
      <c r="X20" s="1"/>
      <c r="Y20" s="25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>
      <c r="A21" s="101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"/>
      <c r="P21" s="1"/>
      <c r="Q21" s="1"/>
      <c r="R21" s="1"/>
      <c r="S21" s="74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"/>
      <c r="P22" s="1"/>
      <c r="Q22" s="1"/>
      <c r="R22" s="1"/>
      <c r="S22" s="74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"/>
      <c r="P23" s="1"/>
      <c r="Q23" s="1"/>
      <c r="R23" s="1"/>
      <c r="S23" s="74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>
      <c r="A24" s="101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"/>
      <c r="P24" s="1"/>
      <c r="Q24" s="1"/>
      <c r="R24" s="1"/>
      <c r="S24" s="74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>
      <c r="A25" s="101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"/>
      <c r="P25" s="1"/>
      <c r="Q25" s="1"/>
      <c r="R25" s="1"/>
      <c r="S25" s="74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"/>
      <c r="P26" s="1"/>
      <c r="Q26" s="1"/>
      <c r="R26" s="1"/>
      <c r="S26" s="74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>
      <c r="A27" s="101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"/>
      <c r="P27" s="1"/>
      <c r="Q27" s="1"/>
      <c r="R27" s="1"/>
      <c r="S27" s="74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>
      <c r="A28" s="101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"/>
      <c r="P28" s="1"/>
      <c r="Q28" s="1"/>
      <c r="R28" s="1"/>
      <c r="S28" s="74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>
      <c r="A29" s="10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"/>
      <c r="P29" s="1"/>
      <c r="Q29" s="1"/>
      <c r="R29" s="1"/>
      <c r="S29" s="74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>
      <c r="A30" s="10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"/>
      <c r="P30" s="1"/>
      <c r="Q30" s="1"/>
      <c r="R30" s="1"/>
      <c r="S30" s="74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>
      <c r="A31" s="101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"/>
      <c r="P31" s="1"/>
      <c r="Q31" s="1"/>
      <c r="R31" s="1"/>
      <c r="S31" s="74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>
      <c r="A32" s="101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"/>
      <c r="P32" s="1"/>
      <c r="Q32" s="1"/>
      <c r="R32" s="1"/>
      <c r="S32" s="74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"/>
      <c r="P33" s="1"/>
      <c r="Q33" s="1"/>
      <c r="R33" s="1"/>
      <c r="S33" s="74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"/>
      <c r="P34" s="1"/>
      <c r="Q34" s="1"/>
      <c r="R34" s="1"/>
      <c r="S34" s="74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>
      <c r="A35" s="10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"/>
      <c r="P35" s="1"/>
      <c r="Q35" s="1"/>
      <c r="R35" s="1"/>
      <c r="S35" s="74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"/>
      <c r="P36" s="1"/>
      <c r="Q36" s="1"/>
      <c r="R36" s="1"/>
      <c r="S36" s="74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"/>
      <c r="P37" s="1"/>
      <c r="Q37" s="1"/>
      <c r="R37" s="1"/>
      <c r="S37" s="74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"/>
      <c r="P38" s="1"/>
      <c r="Q38" s="1"/>
      <c r="R38" s="1"/>
      <c r="S38" s="74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"/>
      <c r="P39" s="1"/>
      <c r="Q39" s="1"/>
      <c r="R39" s="1"/>
      <c r="S39" s="74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"/>
      <c r="P40" s="1"/>
      <c r="Q40" s="1"/>
      <c r="R40" s="1"/>
      <c r="S40" s="74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"/>
      <c r="P41" s="1"/>
      <c r="Q41" s="1"/>
      <c r="R41" s="1"/>
      <c r="S41" s="74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1"/>
      <c r="P42" s="1"/>
      <c r="Q42" s="1"/>
      <c r="R42" s="1"/>
      <c r="S42" s="74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1"/>
      <c r="P43" s="1"/>
      <c r="Q43" s="1"/>
      <c r="R43" s="1"/>
      <c r="S43" s="74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1"/>
      <c r="P44" s="1"/>
      <c r="Q44" s="1"/>
      <c r="R44" s="1"/>
      <c r="S44" s="74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1"/>
      <c r="P45" s="1"/>
      <c r="Q45" s="1"/>
      <c r="R45" s="1"/>
      <c r="S45" s="74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1"/>
      <c r="P46" s="1"/>
      <c r="Q46" s="1"/>
      <c r="R46" s="1"/>
      <c r="S46" s="74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1"/>
      <c r="P47" s="1"/>
      <c r="Q47" s="1"/>
      <c r="R47" s="1"/>
      <c r="S47" s="74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conditionalFormatting sqref="B2:AA12">
    <cfRule type="expression" dxfId="3" priority="1">
      <formula>$B2=TRUE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4" width="12.63"/>
  </cols>
  <sheetData>
    <row r="1">
      <c r="A1" s="1" t="s">
        <v>410</v>
      </c>
      <c r="B1" s="1" t="s">
        <v>411</v>
      </c>
      <c r="C1" s="1" t="s">
        <v>412</v>
      </c>
      <c r="D1" s="1" t="s">
        <v>413</v>
      </c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1"/>
      <c r="C2" s="1"/>
      <c r="D2" s="1"/>
      <c r="E2" s="1"/>
      <c r="F2" s="230" t="s">
        <v>414</v>
      </c>
      <c r="G2" s="51"/>
      <c r="H2" s="51"/>
      <c r="I2" s="50" t="s">
        <v>413</v>
      </c>
      <c r="J2" s="51" t="s">
        <v>415</v>
      </c>
      <c r="K2" s="50" t="s">
        <v>416</v>
      </c>
      <c r="L2" s="51" t="s">
        <v>417</v>
      </c>
      <c r="M2" s="1"/>
    </row>
    <row r="3">
      <c r="A3" s="1" t="s">
        <v>418</v>
      </c>
      <c r="B3" s="151">
        <v>550.0</v>
      </c>
      <c r="C3" s="231">
        <v>628.0</v>
      </c>
      <c r="D3" s="231">
        <v>723.0</v>
      </c>
      <c r="E3" s="1"/>
      <c r="F3" s="50" t="s">
        <v>412</v>
      </c>
      <c r="G3" s="232" t="s">
        <v>419</v>
      </c>
      <c r="H3" s="233"/>
      <c r="I3" s="51"/>
      <c r="J3" s="234">
        <f>'종합'!I5</f>
        <v>27166</v>
      </c>
      <c r="K3" s="51" t="s">
        <v>420</v>
      </c>
      <c r="L3" s="234">
        <f t="array" ref="L3">J3+(-INDEX(A:D, MATCH(K2, A:A, 0), MATCH(I2, 1:1, 0))+INDEX(A:D, MATCH(K2, A:A, 0), MATCH(F3, 1:1, 0)))*1.05</f>
        <v>26472.10522</v>
      </c>
      <c r="M3" s="235" t="s">
        <v>421</v>
      </c>
    </row>
    <row r="4">
      <c r="A4" s="1" t="s">
        <v>422</v>
      </c>
      <c r="B4" s="151">
        <v>707.0</v>
      </c>
      <c r="C4" s="231">
        <v>808.0</v>
      </c>
      <c r="D4" s="231">
        <f>C4/C3*D3</f>
        <v>930.2292994</v>
      </c>
      <c r="E4" s="1"/>
      <c r="F4" s="1"/>
      <c r="G4" s="1"/>
      <c r="H4" s="1"/>
      <c r="I4" s="1"/>
      <c r="J4" s="1"/>
      <c r="K4" s="1"/>
      <c r="L4" s="5" t="s">
        <v>423</v>
      </c>
      <c r="M4" s="1"/>
    </row>
    <row r="5">
      <c r="A5" s="1" t="s">
        <v>424</v>
      </c>
      <c r="B5" s="151">
        <v>785.0</v>
      </c>
      <c r="C5" s="231">
        <f t="shared" ref="C5:D5" si="1">B5/B4*C4</f>
        <v>897.1428571</v>
      </c>
      <c r="D5" s="231">
        <f t="shared" si="1"/>
        <v>1032.857143</v>
      </c>
      <c r="E5" s="1"/>
      <c r="F5" s="1"/>
      <c r="G5" s="1"/>
      <c r="H5" s="1"/>
      <c r="I5" s="1"/>
      <c r="J5" s="1"/>
      <c r="K5" s="1"/>
      <c r="L5" s="1"/>
      <c r="M5" s="1"/>
    </row>
    <row r="6">
      <c r="A6" s="1" t="s">
        <v>425</v>
      </c>
      <c r="B6" s="151">
        <v>825.0</v>
      </c>
      <c r="C6" s="231">
        <f t="shared" ref="C6:D6" si="2">B6/B5*C5</f>
        <v>942.8571429</v>
      </c>
      <c r="D6" s="231">
        <f t="shared" si="2"/>
        <v>1085.486806</v>
      </c>
      <c r="E6" s="1"/>
      <c r="F6" s="1"/>
      <c r="G6" s="1"/>
      <c r="H6" s="1"/>
      <c r="I6" s="1"/>
      <c r="J6" s="1"/>
      <c r="K6" s="1"/>
      <c r="L6" s="1"/>
      <c r="M6" s="1"/>
    </row>
    <row r="7">
      <c r="A7" s="1" t="s">
        <v>426</v>
      </c>
      <c r="B7" s="151">
        <v>864.0</v>
      </c>
      <c r="C7" s="231">
        <f t="shared" ref="C7:D7" si="3">B7/B6*C6</f>
        <v>987.4285714</v>
      </c>
      <c r="D7" s="231">
        <f t="shared" si="3"/>
        <v>1136.800728</v>
      </c>
      <c r="E7" s="1"/>
      <c r="F7" s="1"/>
      <c r="G7" s="1"/>
      <c r="H7" s="1"/>
      <c r="I7" s="1"/>
      <c r="J7" s="1"/>
      <c r="K7" s="1"/>
      <c r="L7" s="1"/>
      <c r="M7" s="1"/>
    </row>
    <row r="8">
      <c r="A8" s="1" t="s">
        <v>427</v>
      </c>
      <c r="B8" s="151">
        <v>903.0</v>
      </c>
      <c r="C8" s="231">
        <f t="shared" ref="C8:D8" si="4">B8/B7*C7</f>
        <v>1032</v>
      </c>
      <c r="D8" s="231">
        <f t="shared" si="4"/>
        <v>1188.11465</v>
      </c>
      <c r="E8" s="1"/>
      <c r="F8" s="1"/>
      <c r="G8" s="1"/>
      <c r="H8" s="1"/>
      <c r="I8" s="1"/>
      <c r="J8" s="1"/>
      <c r="K8" s="1"/>
      <c r="L8" s="1"/>
      <c r="M8" s="1"/>
    </row>
    <row r="9">
      <c r="A9" s="1" t="s">
        <v>428</v>
      </c>
      <c r="B9" s="151">
        <v>982.0</v>
      </c>
      <c r="C9" s="231">
        <f t="shared" ref="C9:D9" si="5">B9/B8*C8</f>
        <v>1122.285714</v>
      </c>
      <c r="D9" s="231">
        <f t="shared" si="5"/>
        <v>1292.058235</v>
      </c>
      <c r="E9" s="1"/>
      <c r="F9" s="1"/>
      <c r="G9" s="1"/>
      <c r="H9" s="1"/>
      <c r="I9" s="1"/>
      <c r="J9" s="1"/>
      <c r="K9" s="1"/>
      <c r="L9" s="1"/>
      <c r="M9" s="1"/>
    </row>
    <row r="10">
      <c r="A10" s="1" t="s">
        <v>429</v>
      </c>
      <c r="B10" s="151">
        <v>1060.0</v>
      </c>
      <c r="C10" s="231">
        <f t="shared" ref="C10:D10" si="6">B10/B9*C9</f>
        <v>1211.428571</v>
      </c>
      <c r="D10" s="231">
        <f t="shared" si="6"/>
        <v>1394.686078</v>
      </c>
      <c r="E10" s="1"/>
      <c r="F10" s="1"/>
      <c r="G10" s="1"/>
      <c r="H10" s="1"/>
      <c r="I10" s="1"/>
      <c r="J10" s="1"/>
      <c r="K10" s="1"/>
      <c r="L10" s="1"/>
      <c r="M10" s="1"/>
    </row>
    <row r="11">
      <c r="A11" s="1" t="s">
        <v>430</v>
      </c>
      <c r="B11" s="151">
        <v>1139.0</v>
      </c>
      <c r="C11" s="231">
        <f t="shared" ref="C11:D11" si="7">B11/B10*C10</f>
        <v>1301.714286</v>
      </c>
      <c r="D11" s="231">
        <f t="shared" si="7"/>
        <v>1498.629663</v>
      </c>
      <c r="E11" s="1"/>
      <c r="F11" s="1"/>
      <c r="G11" s="1"/>
      <c r="H11" s="1"/>
      <c r="I11" s="1"/>
      <c r="J11" s="1"/>
      <c r="K11" s="1"/>
      <c r="L11" s="1"/>
      <c r="M11" s="1"/>
    </row>
    <row r="12">
      <c r="A12" s="1" t="s">
        <v>431</v>
      </c>
      <c r="B12" s="151">
        <v>1217.0</v>
      </c>
      <c r="C12" s="231">
        <f t="shared" ref="C12:D12" si="8">B12/B11*C11</f>
        <v>1390.857143</v>
      </c>
      <c r="D12" s="231">
        <f t="shared" si="8"/>
        <v>1601.257507</v>
      </c>
      <c r="E12" s="1"/>
      <c r="F12" s="1"/>
      <c r="G12" s="1"/>
      <c r="H12" s="1"/>
      <c r="I12" s="1"/>
      <c r="J12" s="1"/>
      <c r="K12" s="1"/>
      <c r="L12" s="1"/>
      <c r="M12" s="1"/>
    </row>
    <row r="13">
      <c r="A13" s="1" t="s">
        <v>432</v>
      </c>
      <c r="B13" s="151">
        <v>1335.0</v>
      </c>
      <c r="C13" s="231">
        <f t="shared" ref="C13:D13" si="9">B13/B12*C12</f>
        <v>1525.714286</v>
      </c>
      <c r="D13" s="231">
        <f t="shared" si="9"/>
        <v>1756.515014</v>
      </c>
      <c r="E13" s="1"/>
      <c r="F13" s="1"/>
      <c r="G13" s="1"/>
      <c r="H13" s="1"/>
      <c r="I13" s="1"/>
      <c r="J13" s="1"/>
      <c r="K13" s="1"/>
      <c r="L13" s="1"/>
      <c r="M13" s="1"/>
    </row>
    <row r="14">
      <c r="A14" s="1" t="s">
        <v>433</v>
      </c>
      <c r="B14" s="151">
        <v>1649.0</v>
      </c>
      <c r="C14" s="231">
        <f t="shared" ref="C14:D14" si="10">B14/B13*C13</f>
        <v>1884.571429</v>
      </c>
      <c r="D14" s="231">
        <f t="shared" si="10"/>
        <v>2169.657871</v>
      </c>
      <c r="E14" s="1"/>
      <c r="F14" s="1"/>
      <c r="G14" s="1"/>
      <c r="H14" s="1"/>
      <c r="I14" s="1"/>
      <c r="J14" s="1"/>
      <c r="K14" s="1"/>
      <c r="L14" s="1"/>
      <c r="M14" s="1"/>
    </row>
    <row r="15">
      <c r="A15" s="1" t="s">
        <v>434</v>
      </c>
      <c r="B15" s="151">
        <v>1963.0</v>
      </c>
      <c r="C15" s="231">
        <f t="shared" ref="C15:D15" si="11">B15/B14*C14</f>
        <v>2243.428571</v>
      </c>
      <c r="D15" s="231">
        <f t="shared" si="11"/>
        <v>2582.800728</v>
      </c>
      <c r="E15" s="1"/>
      <c r="F15" s="1"/>
      <c r="G15" s="1"/>
      <c r="H15" s="1"/>
      <c r="I15" s="1"/>
      <c r="J15" s="1"/>
      <c r="K15" s="1"/>
      <c r="L15" s="1"/>
      <c r="M15" s="1"/>
    </row>
    <row r="16">
      <c r="A16" s="1" t="s">
        <v>435</v>
      </c>
      <c r="B16" s="151">
        <v>2277.0</v>
      </c>
      <c r="C16" s="231">
        <f t="shared" ref="C16:D16" si="12">B16/B15*C15</f>
        <v>2602.285714</v>
      </c>
      <c r="D16" s="231">
        <f t="shared" si="12"/>
        <v>2995.943585</v>
      </c>
      <c r="E16" s="1"/>
      <c r="F16" s="1"/>
      <c r="G16" s="1"/>
      <c r="H16" s="1"/>
      <c r="I16" s="1"/>
      <c r="J16" s="1"/>
      <c r="K16" s="1"/>
      <c r="L16" s="1"/>
      <c r="M16" s="1"/>
    </row>
    <row r="17">
      <c r="A17" s="1" t="s">
        <v>436</v>
      </c>
      <c r="B17" s="151">
        <v>2591.0</v>
      </c>
      <c r="C17" s="231">
        <f t="shared" ref="C17:D17" si="13">B17/B16*C16</f>
        <v>2961.142857</v>
      </c>
      <c r="D17" s="231">
        <f t="shared" si="13"/>
        <v>3409.086442</v>
      </c>
      <c r="E17" s="1"/>
      <c r="F17" s="1"/>
      <c r="G17" s="1"/>
      <c r="H17" s="1"/>
      <c r="I17" s="1"/>
      <c r="J17" s="1"/>
      <c r="K17" s="1"/>
      <c r="L17" s="1"/>
      <c r="M17" s="1"/>
    </row>
    <row r="18">
      <c r="A18" s="1" t="s">
        <v>437</v>
      </c>
      <c r="B18" s="151">
        <v>2906.0</v>
      </c>
      <c r="C18" s="231">
        <v>3322.0</v>
      </c>
      <c r="D18" s="231">
        <f>C18/C17*D17</f>
        <v>3824.531847</v>
      </c>
      <c r="E18" s="1"/>
      <c r="F18" s="1"/>
      <c r="G18" s="1"/>
      <c r="H18" s="1"/>
      <c r="I18" s="1"/>
      <c r="J18" s="1"/>
      <c r="K18" s="1"/>
      <c r="L18" s="1"/>
      <c r="M18" s="1"/>
    </row>
    <row r="19">
      <c r="A19" s="1" t="s">
        <v>438</v>
      </c>
      <c r="B19" s="151">
        <v>3220.0</v>
      </c>
      <c r="C19" s="231">
        <v>3681.0</v>
      </c>
      <c r="D19" s="231">
        <v>4234.0</v>
      </c>
      <c r="E19" s="1"/>
      <c r="F19" s="1"/>
      <c r="G19" s="1"/>
      <c r="H19" s="1"/>
      <c r="I19" s="1"/>
      <c r="J19" s="1"/>
      <c r="K19" s="1"/>
      <c r="L19" s="1"/>
      <c r="M19" s="1"/>
    </row>
    <row r="20">
      <c r="A20" s="1" t="s">
        <v>439</v>
      </c>
      <c r="B20" s="151">
        <v>3534.0</v>
      </c>
      <c r="C20" s="231">
        <f t="shared" ref="C20:D20" si="14">B20/B19*C19</f>
        <v>4039.954658</v>
      </c>
      <c r="D20" s="231">
        <f t="shared" si="14"/>
        <v>4646.880745</v>
      </c>
      <c r="E20" s="1"/>
      <c r="F20" s="1"/>
      <c r="G20" s="1"/>
      <c r="H20" s="1"/>
      <c r="I20" s="1"/>
      <c r="J20" s="1"/>
      <c r="K20" s="1"/>
      <c r="L20" s="1"/>
      <c r="M20" s="1"/>
    </row>
    <row r="21">
      <c r="A21" s="1" t="s">
        <v>416</v>
      </c>
      <c r="B21" s="151">
        <v>3848.0</v>
      </c>
      <c r="C21" s="231">
        <f t="shared" ref="C21:D21" si="15">B21/B20*C20</f>
        <v>4398.909317</v>
      </c>
      <c r="D21" s="231">
        <f t="shared" si="15"/>
        <v>5059.761491</v>
      </c>
      <c r="E21" s="1"/>
      <c r="F21" s="1"/>
      <c r="G21" s="1"/>
      <c r="H21" s="1"/>
      <c r="I21" s="1"/>
      <c r="J21" s="1"/>
      <c r="K21" s="1"/>
      <c r="L21" s="1"/>
      <c r="M21" s="1"/>
    </row>
    <row r="22">
      <c r="A22" s="1" t="s">
        <v>440</v>
      </c>
      <c r="B22" s="151">
        <v>4162.0</v>
      </c>
      <c r="C22" s="231">
        <f t="shared" ref="C22:D22" si="16">B22/B21*C21</f>
        <v>4757.863975</v>
      </c>
      <c r="D22" s="231">
        <f t="shared" si="16"/>
        <v>5472.642236</v>
      </c>
      <c r="E22" s="1"/>
      <c r="F22" s="1"/>
      <c r="G22" s="1"/>
      <c r="H22" s="1"/>
      <c r="I22" s="1"/>
      <c r="J22" s="1"/>
      <c r="K22" s="1"/>
      <c r="L22" s="1"/>
      <c r="M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</sheetData>
  <dataValidations>
    <dataValidation type="list" allowBlank="1" showErrorMessage="1" sqref="I2 F3">
      <formula1>'공격력변환'!$B$1:$D$1</formula1>
    </dataValidation>
    <dataValidation type="list" allowBlank="1" showErrorMessage="1" sqref="K2">
      <formula1>'공격력변환'!$A$3:$A$22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5" width="5.75"/>
    <col customWidth="1" min="36" max="36" width="6.38"/>
    <col customWidth="1" min="37" max="37" width="12.25"/>
  </cols>
  <sheetData>
    <row r="1">
      <c r="A1" s="6" t="s">
        <v>441</v>
      </c>
      <c r="B1" s="236">
        <v>0.0</v>
      </c>
      <c r="C1" s="236">
        <f>'종합'!B34</f>
        <v>10</v>
      </c>
      <c r="D1" s="236">
        <v>0.0</v>
      </c>
      <c r="E1" s="236">
        <f>C1</f>
        <v>10</v>
      </c>
      <c r="F1" s="236">
        <v>0.0</v>
      </c>
      <c r="G1" s="236">
        <f>'종합'!C34</f>
        <v>30</v>
      </c>
      <c r="H1" s="236">
        <v>0.0</v>
      </c>
      <c r="I1" s="236">
        <f>G1</f>
        <v>30</v>
      </c>
      <c r="J1" s="236">
        <v>0.0</v>
      </c>
      <c r="K1" s="236">
        <f>'종합'!D34</f>
        <v>10</v>
      </c>
      <c r="L1" s="236">
        <v>0.0</v>
      </c>
      <c r="M1" s="236">
        <f>'종합'!E34</f>
        <v>10</v>
      </c>
      <c r="N1" s="236">
        <v>0.0</v>
      </c>
      <c r="O1" s="236">
        <f>M1</f>
        <v>10</v>
      </c>
      <c r="P1" s="236">
        <v>0.0</v>
      </c>
      <c r="Q1" s="236">
        <f>M1</f>
        <v>10</v>
      </c>
      <c r="R1" s="236">
        <v>0.0</v>
      </c>
      <c r="S1" s="236">
        <f>'종합'!F34</f>
        <v>30</v>
      </c>
      <c r="T1" s="236">
        <v>0.0</v>
      </c>
      <c r="U1" s="236">
        <f>S1</f>
        <v>30</v>
      </c>
      <c r="V1" s="236">
        <v>0.0</v>
      </c>
      <c r="W1" s="236">
        <f>S1</f>
        <v>30</v>
      </c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</row>
    <row r="2">
      <c r="A2" s="6" t="s">
        <v>442</v>
      </c>
      <c r="B2" s="237" t="s">
        <v>443</v>
      </c>
      <c r="C2" s="237" t="s">
        <v>444</v>
      </c>
      <c r="D2" s="237" t="s">
        <v>445</v>
      </c>
      <c r="E2" s="237" t="s">
        <v>444</v>
      </c>
      <c r="F2" s="237" t="s">
        <v>446</v>
      </c>
      <c r="G2" s="237" t="s">
        <v>444</v>
      </c>
      <c r="H2" s="237" t="s">
        <v>447</v>
      </c>
      <c r="I2" s="237" t="s">
        <v>444</v>
      </c>
      <c r="J2" s="237" t="s">
        <v>448</v>
      </c>
      <c r="K2" s="237" t="s">
        <v>444</v>
      </c>
      <c r="L2" s="237" t="s">
        <v>449</v>
      </c>
      <c r="M2" s="237" t="s">
        <v>444</v>
      </c>
      <c r="N2" s="237" t="s">
        <v>450</v>
      </c>
      <c r="O2" s="237" t="s">
        <v>444</v>
      </c>
      <c r="P2" s="237" t="s">
        <v>451</v>
      </c>
      <c r="Q2" s="237" t="s">
        <v>444</v>
      </c>
      <c r="R2" s="237" t="s">
        <v>452</v>
      </c>
      <c r="S2" s="237" t="s">
        <v>444</v>
      </c>
      <c r="T2" s="237" t="s">
        <v>453</v>
      </c>
      <c r="U2" s="237" t="s">
        <v>444</v>
      </c>
      <c r="V2" s="237" t="s">
        <v>454</v>
      </c>
      <c r="W2" s="237" t="s">
        <v>444</v>
      </c>
      <c r="X2" s="237" t="s">
        <v>455</v>
      </c>
      <c r="Y2" s="237" t="s">
        <v>108</v>
      </c>
      <c r="Z2" s="238"/>
      <c r="AA2" s="237" t="s">
        <v>254</v>
      </c>
      <c r="AB2" s="238"/>
      <c r="AC2" s="238"/>
      <c r="AD2" s="238"/>
      <c r="AE2" s="238"/>
      <c r="AF2" s="238"/>
      <c r="AG2" s="238"/>
      <c r="AH2" s="238"/>
      <c r="AI2" s="238"/>
      <c r="AJ2" s="238"/>
      <c r="AK2" s="238"/>
    </row>
    <row r="3">
      <c r="A3" s="239" t="s">
        <v>456</v>
      </c>
      <c r="B3" s="240">
        <v>1.475</v>
      </c>
      <c r="C3" s="241">
        <f t="shared" ref="C3:C6" si="1">B3*(1+0.03*C$1+0.02*((C$1&gt;=2)+(C$1&gt;=10)+(C$1&gt;=15)+(C$1&gt;=20)+(C$1&gt;=30)))</f>
        <v>1.9765</v>
      </c>
      <c r="D3" s="240">
        <v>0.81</v>
      </c>
      <c r="E3" s="241">
        <f>D3*(1+0.03*E$1+0.02*((E$1&gt;=2)+(E$1&gt;=10)+(E$1&gt;=15)+(E$1&gt;=20)+(E$1&gt;=30)))</f>
        <v>1.0854</v>
      </c>
      <c r="F3" s="242">
        <v>0.405</v>
      </c>
      <c r="G3" s="241">
        <f>F3*(1+0.03*G$1+0.02*((G$1&gt;=2)+(G$1&gt;=10)+(G$1&gt;=15)+(G$1&gt;=20)+(G$1&gt;=30)))</f>
        <v>0.81</v>
      </c>
      <c r="H3" s="240">
        <v>0.525</v>
      </c>
      <c r="I3" s="241">
        <f>H3*(1+0.03*I$1+0.02*((I$1&gt;=2)+(I$1&gt;=10)+(I$1&gt;=15)+(I$1&gt;=20)+(I$1&gt;=30)))</f>
        <v>1.05</v>
      </c>
      <c r="J3" s="240">
        <v>0.085</v>
      </c>
      <c r="K3" s="241">
        <f>J3*(1+0.03*K$1+0.02*((K$1&gt;=2)+(K$1&gt;=10)+(K$1&gt;=15)+(K$1&gt;=20)+(K$1&gt;=30)))</f>
        <v>0.1139</v>
      </c>
      <c r="L3" s="242">
        <v>0.141</v>
      </c>
      <c r="M3" s="241">
        <f t="shared" ref="M3:M4" si="2">L3*(1+0.03*M$1+0.02*((M$1&gt;=2)+(M$1&gt;=10)+(M$1&gt;=15)+(M$1&gt;=20)+(M$1&gt;=30)))</f>
        <v>0.18894</v>
      </c>
      <c r="N3" s="242">
        <v>0.25</v>
      </c>
      <c r="O3" s="241">
        <f t="shared" ref="O3:O4" si="3">N3*(1+0.03*O$1+0.02*((O$1&gt;=2)+(O$1&gt;=10)+(O$1&gt;=15)+(O$1&gt;=20)+(O$1&gt;=30)))</f>
        <v>0.335</v>
      </c>
      <c r="P3" s="240">
        <v>0.354</v>
      </c>
      <c r="Q3" s="241">
        <f t="shared" ref="Q3:Q4" si="4">P3*(1+0.03*Q$1+0.02*((Q$1&gt;=2)+(Q$1&gt;=10)+(Q$1&gt;=15)+(Q$1&gt;=20)+(Q$1&gt;=30)))</f>
        <v>0.47436</v>
      </c>
      <c r="R3" s="242">
        <v>0.32</v>
      </c>
      <c r="S3" s="241">
        <f>R3*(1+0.03*S$1+0.02*((S$1&gt;=2)+(S$1&gt;=10)+(S$1&gt;=15)+(S$1&gt;=20)+(S$1&gt;=30)))</f>
        <v>0.64</v>
      </c>
      <c r="T3" s="242">
        <v>0.435</v>
      </c>
      <c r="U3" s="241">
        <f>T3*(1+0.03*U$1+0.02*((U$1&gt;=2)+(U$1&gt;=10)+(U$1&gt;=15)+(U$1&gt;=20)+(U$1&gt;=30)))</f>
        <v>0.87</v>
      </c>
      <c r="V3" s="240">
        <v>0.63</v>
      </c>
      <c r="W3" s="241">
        <f>V3*(1+0.03*W$1+0.02*((W$1&gt;=2)+(W$1&gt;=10)+(W$1&gt;=15)+(W$1&gt;=20)+(W$1&gt;=30)))</f>
        <v>1.26</v>
      </c>
      <c r="X3" s="208" t="s">
        <v>457</v>
      </c>
      <c r="Y3" s="208">
        <f>9+0.25*'종합'!G34</f>
        <v>16.5</v>
      </c>
      <c r="Z3" s="25"/>
      <c r="AA3" s="208">
        <f>SUMIF('무기룬'!B:B, TRUE, '무기룬'!AC:AC) + SUMIF('방어구룬'!B:B, TRUE, '방어구룬'!AC:AC) + SUMIF('엠블럼룬'!B:B, TRUE, '엠블럼룬'!AC:AC)</f>
        <v>0</v>
      </c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>
      <c r="B4" s="243">
        <v>0.825</v>
      </c>
      <c r="C4" s="244">
        <f t="shared" si="1"/>
        <v>1.1055</v>
      </c>
      <c r="D4" s="245"/>
      <c r="E4" s="246"/>
      <c r="F4" s="245"/>
      <c r="G4" s="246"/>
      <c r="H4" s="245"/>
      <c r="I4" s="246"/>
      <c r="J4" s="245"/>
      <c r="K4" s="246"/>
      <c r="L4" s="243">
        <v>0.246</v>
      </c>
      <c r="M4" s="244">
        <f t="shared" si="2"/>
        <v>0.32964</v>
      </c>
      <c r="N4" s="243">
        <v>0.437</v>
      </c>
      <c r="O4" s="244">
        <f t="shared" si="3"/>
        <v>0.58558</v>
      </c>
      <c r="P4" s="243">
        <v>0.619</v>
      </c>
      <c r="Q4" s="244">
        <f t="shared" si="4"/>
        <v>0.82946</v>
      </c>
      <c r="R4" s="245"/>
      <c r="S4" s="246"/>
      <c r="T4" s="245"/>
      <c r="U4" s="246"/>
      <c r="V4" s="245"/>
      <c r="W4" s="246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>
      <c r="B5" s="243">
        <v>1.15</v>
      </c>
      <c r="C5" s="244">
        <f t="shared" si="1"/>
        <v>1.541</v>
      </c>
      <c r="D5" s="245"/>
      <c r="E5" s="246"/>
      <c r="F5" s="245"/>
      <c r="G5" s="246"/>
      <c r="H5" s="245"/>
      <c r="I5" s="246"/>
      <c r="J5" s="245"/>
      <c r="K5" s="246"/>
      <c r="L5" s="245"/>
      <c r="M5" s="244">
        <f>L3*(1+0.03*M$1+0.02*((M$1&gt;=2)+(M$1&gt;=10)+(M$1&gt;=15)+(M$1&gt;=20)+(M$1&gt;=30)))</f>
        <v>0.18894</v>
      </c>
      <c r="N5" s="245"/>
      <c r="O5" s="244">
        <f>N3*(1+0.03*O$1+0.02*((O$1&gt;=2)+(O$1&gt;=10)+(O$1&gt;=15)+(O$1&gt;=20)+(O$1&gt;=30)))</f>
        <v>0.335</v>
      </c>
      <c r="P5" s="245"/>
      <c r="Q5" s="244">
        <f>P3*(1+0.03*Q$1+0.02*((Q$1&gt;=2)+(Q$1&gt;=10)+(Q$1&gt;=15)+(Q$1&gt;=20)+(Q$1&gt;=30)))</f>
        <v>0.47436</v>
      </c>
      <c r="R5" s="245"/>
      <c r="S5" s="246"/>
      <c r="T5" s="245"/>
      <c r="U5" s="246"/>
      <c r="V5" s="245"/>
      <c r="W5" s="246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</row>
    <row r="6">
      <c r="B6" s="247">
        <v>0.5</v>
      </c>
      <c r="C6" s="248">
        <f t="shared" si="1"/>
        <v>0.67</v>
      </c>
      <c r="D6" s="249"/>
      <c r="E6" s="250"/>
      <c r="F6" s="249"/>
      <c r="G6" s="250"/>
      <c r="H6" s="249"/>
      <c r="I6" s="250"/>
      <c r="J6" s="249"/>
      <c r="K6" s="250"/>
      <c r="L6" s="249"/>
      <c r="M6" s="250"/>
      <c r="N6" s="249"/>
      <c r="O6" s="250"/>
      <c r="P6" s="249"/>
      <c r="Q6" s="250"/>
      <c r="R6" s="249"/>
      <c r="S6" s="250"/>
      <c r="T6" s="249"/>
      <c r="U6" s="250"/>
      <c r="V6" s="249"/>
      <c r="W6" s="250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</row>
    <row r="7">
      <c r="A7" s="6" t="s">
        <v>458</v>
      </c>
      <c r="B7" s="208">
        <v>15.0</v>
      </c>
      <c r="C7" s="25"/>
      <c r="D7" s="25"/>
      <c r="E7" s="25"/>
      <c r="F7" s="208">
        <v>14.0</v>
      </c>
      <c r="G7" s="25"/>
      <c r="H7" s="1"/>
      <c r="I7" s="25"/>
      <c r="J7" s="208">
        <v>10.0</v>
      </c>
      <c r="K7" s="25"/>
      <c r="L7" s="208">
        <v>15.0</v>
      </c>
      <c r="M7" s="25"/>
      <c r="N7" s="1"/>
      <c r="O7" s="25"/>
      <c r="P7" s="1"/>
      <c r="Q7" s="25"/>
      <c r="R7" s="208">
        <v>15.0</v>
      </c>
      <c r="S7" s="25"/>
      <c r="T7" s="1"/>
      <c r="U7" s="25"/>
      <c r="V7" s="1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</row>
    <row r="8">
      <c r="A8" s="6" t="s">
        <v>442</v>
      </c>
      <c r="B8" s="237" t="s">
        <v>443</v>
      </c>
      <c r="C8" s="208" t="s">
        <v>459</v>
      </c>
      <c r="D8" s="237" t="s">
        <v>445</v>
      </c>
      <c r="E8" s="208" t="s">
        <v>459</v>
      </c>
      <c r="F8" s="237" t="s">
        <v>446</v>
      </c>
      <c r="G8" s="208" t="s">
        <v>53</v>
      </c>
      <c r="H8" s="237" t="s">
        <v>447</v>
      </c>
      <c r="I8" s="208" t="s">
        <v>53</v>
      </c>
      <c r="J8" s="237" t="s">
        <v>448</v>
      </c>
      <c r="K8" s="208" t="s">
        <v>460</v>
      </c>
      <c r="L8" s="237" t="s">
        <v>449</v>
      </c>
      <c r="M8" s="25" t="s">
        <v>461</v>
      </c>
      <c r="N8" s="237" t="s">
        <v>450</v>
      </c>
      <c r="O8" s="25" t="s">
        <v>461</v>
      </c>
      <c r="P8" s="237" t="s">
        <v>451</v>
      </c>
      <c r="Q8" s="25" t="s">
        <v>461</v>
      </c>
      <c r="R8" s="237" t="s">
        <v>452</v>
      </c>
      <c r="S8" s="237" t="s">
        <v>161</v>
      </c>
      <c r="T8" s="237" t="s">
        <v>453</v>
      </c>
      <c r="U8" s="237" t="s">
        <v>161</v>
      </c>
      <c r="V8" s="237" t="s">
        <v>454</v>
      </c>
      <c r="W8" s="237" t="s">
        <v>161</v>
      </c>
      <c r="X8" s="238"/>
      <c r="Y8" s="238"/>
      <c r="Z8" s="238"/>
      <c r="AA8" s="238"/>
      <c r="AB8" s="238"/>
      <c r="AC8" s="238"/>
      <c r="AD8" s="238"/>
      <c r="AE8" s="238"/>
      <c r="AF8" s="238"/>
      <c r="AG8" s="238"/>
      <c r="AH8" s="238"/>
      <c r="AI8" s="238"/>
      <c r="AJ8" s="238"/>
      <c r="AK8" s="238"/>
    </row>
    <row r="9">
      <c r="A9" s="239" t="s">
        <v>456</v>
      </c>
      <c r="B9" s="240">
        <v>1.775</v>
      </c>
      <c r="C9" s="241">
        <f>B9*(1+0.03*C$1+0.02*((C$1&gt;=2)+(C$1&gt;=10)+(C$1&gt;=15)+(C$1&gt;=20)+(C$1&gt;=30)))</f>
        <v>2.3785</v>
      </c>
      <c r="D9" s="240">
        <v>0.81</v>
      </c>
      <c r="E9" s="241">
        <f>D9*(1+0.03*E$1+0.02*((E$1&gt;=2)+(E$1&gt;=10)+(E$1&gt;=15)+(E$1&gt;=20)+(E$1&gt;=30)))</f>
        <v>1.0854</v>
      </c>
      <c r="F9" s="242">
        <v>0.465</v>
      </c>
      <c r="G9" s="241">
        <f>F9*(1+0.03*G$1+0.02*((G$1&gt;=2)+(G$1&gt;=10)+(G$1&gt;=15)+(G$1&gt;=20)+(G$1&gt;=30)))</f>
        <v>0.93</v>
      </c>
      <c r="H9" s="240">
        <v>0.525</v>
      </c>
      <c r="I9" s="241">
        <f>H9*(1+0.03*I$1+0.02*((I$1&gt;=2)+(I$1&gt;=10)+(I$1&gt;=15)+(I$1&gt;=20)+(I$1&gt;=30)))</f>
        <v>1.05</v>
      </c>
      <c r="J9" s="240">
        <v>0.24</v>
      </c>
      <c r="K9" s="241">
        <f>J9*(1+0.03*K$1+0.02*((K$1&gt;=2)+(K$1&gt;=10)+(K$1&gt;=15)+(K$1&gt;=20)+(K$1&gt;=30)))</f>
        <v>0.3216</v>
      </c>
      <c r="L9" s="242">
        <v>0.188</v>
      </c>
      <c r="M9" s="241">
        <f t="shared" ref="M9:M12" si="5">L9*(1+0.03*M$1+0.02*((M$1&gt;=2)+(M$1&gt;=10)+(M$1&gt;=15)+(M$1&gt;=20)+(M$1&gt;=30)))</f>
        <v>0.25192</v>
      </c>
      <c r="N9" s="242">
        <v>0.328</v>
      </c>
      <c r="O9" s="241">
        <f t="shared" ref="O9:O12" si="6">N9*(1+0.03*O$1+0.02*((O$1&gt;=2)+(O$1&gt;=10)+(O$1&gt;=15)+(O$1&gt;=20)+(O$1&gt;=30)))</f>
        <v>0.43952</v>
      </c>
      <c r="P9" s="242">
        <v>0.468</v>
      </c>
      <c r="Q9" s="241">
        <f t="shared" ref="Q9:Q12" si="7">P9*(1+0.03*Q$1+0.02*((Q$1&gt;=2)+(Q$1&gt;=10)+(Q$1&gt;=15)+(Q$1&gt;=20)+(Q$1&gt;=30)))</f>
        <v>0.62712</v>
      </c>
      <c r="R9" s="242">
        <v>0.435</v>
      </c>
      <c r="S9" s="241">
        <f>R9*(1+0.03*S$1+0.02*((S$1&gt;=2)+(S$1&gt;=10)+(S$1&gt;=15)+(S$1&gt;=20)+(S$1&gt;=30)))</f>
        <v>0.87</v>
      </c>
      <c r="T9" s="242">
        <v>0.6</v>
      </c>
      <c r="U9" s="241">
        <f>T9*(1+0.03*U$1+0.02*((U$1&gt;=2)+(U$1&gt;=10)+(U$1&gt;=15)+(U$1&gt;=20)+(U$1&gt;=30)))</f>
        <v>1.2</v>
      </c>
      <c r="V9" s="240">
        <v>0.86</v>
      </c>
      <c r="W9" s="241">
        <f>V9*(1+0.03*W$1+0.02*((W$1&gt;=2)+(W$1&gt;=10)+(W$1&gt;=15)+(W$1&gt;=20)+(W$1&gt;=30)))</f>
        <v>1.72</v>
      </c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</row>
    <row r="10">
      <c r="B10" s="243">
        <v>1.325</v>
      </c>
      <c r="C10" s="244">
        <f t="shared" ref="C10:C12" si="8">B10*(1+0.03*C$1+0.02*((C$1&gt;=2)+(C$1&gt;=10)+(C$1&gt;=15)+(C$1&gt;=20)+(C$1&gt;=30)))+0.35</f>
        <v>2.1255</v>
      </c>
      <c r="D10" s="245"/>
      <c r="E10" s="246"/>
      <c r="F10" s="245"/>
      <c r="G10" s="246"/>
      <c r="H10" s="245"/>
      <c r="I10" s="246"/>
      <c r="J10" s="245"/>
      <c r="K10" s="246"/>
      <c r="L10" s="243">
        <v>0.328</v>
      </c>
      <c r="M10" s="244">
        <f t="shared" si="5"/>
        <v>0.43952</v>
      </c>
      <c r="N10" s="243">
        <v>0.574</v>
      </c>
      <c r="O10" s="244">
        <f t="shared" si="6"/>
        <v>0.76916</v>
      </c>
      <c r="P10" s="243">
        <v>0.82</v>
      </c>
      <c r="Q10" s="244">
        <f t="shared" si="7"/>
        <v>1.0988</v>
      </c>
      <c r="R10" s="245"/>
      <c r="S10" s="246"/>
      <c r="T10" s="245"/>
      <c r="U10" s="246"/>
      <c r="V10" s="245"/>
      <c r="W10" s="246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</row>
    <row r="11">
      <c r="B11" s="243">
        <v>1.7</v>
      </c>
      <c r="C11" s="244">
        <f t="shared" si="8"/>
        <v>2.628</v>
      </c>
      <c r="D11" s="245"/>
      <c r="E11" s="246"/>
      <c r="F11" s="245"/>
      <c r="G11" s="246"/>
      <c r="H11" s="245"/>
      <c r="I11" s="246"/>
      <c r="J11" s="245"/>
      <c r="K11" s="246"/>
      <c r="L11" s="243">
        <v>0.234</v>
      </c>
      <c r="M11" s="244">
        <f t="shared" si="5"/>
        <v>0.31356</v>
      </c>
      <c r="N11" s="243">
        <v>0.41</v>
      </c>
      <c r="O11" s="244">
        <f t="shared" si="6"/>
        <v>0.5494</v>
      </c>
      <c r="P11" s="243">
        <v>0.585</v>
      </c>
      <c r="Q11" s="244">
        <f t="shared" si="7"/>
        <v>0.7839</v>
      </c>
      <c r="R11" s="245"/>
      <c r="S11" s="246"/>
      <c r="T11" s="245"/>
      <c r="U11" s="246"/>
      <c r="V11" s="245"/>
      <c r="W11" s="246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</row>
    <row r="12">
      <c r="B12" s="247">
        <v>0.94</v>
      </c>
      <c r="C12" s="248">
        <f t="shared" si="8"/>
        <v>1.6096</v>
      </c>
      <c r="D12" s="249"/>
      <c r="E12" s="250"/>
      <c r="F12" s="249"/>
      <c r="G12" s="250"/>
      <c r="H12" s="249"/>
      <c r="I12" s="250"/>
      <c r="J12" s="249"/>
      <c r="K12" s="250"/>
      <c r="L12" s="247">
        <v>0.1</v>
      </c>
      <c r="M12" s="248">
        <f t="shared" si="5"/>
        <v>0.134</v>
      </c>
      <c r="N12" s="247">
        <v>0.1</v>
      </c>
      <c r="O12" s="248">
        <f t="shared" si="6"/>
        <v>0.134</v>
      </c>
      <c r="P12" s="247">
        <v>0.1</v>
      </c>
      <c r="Q12" s="248">
        <f t="shared" si="7"/>
        <v>0.134</v>
      </c>
      <c r="R12" s="249"/>
      <c r="S12" s="250"/>
      <c r="T12" s="249"/>
      <c r="U12" s="250"/>
      <c r="V12" s="249"/>
      <c r="W12" s="250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>
      <c r="A13" s="6" t="s">
        <v>458</v>
      </c>
      <c r="B13" s="208">
        <v>15.0</v>
      </c>
      <c r="C13" s="25"/>
      <c r="D13" s="25"/>
      <c r="E13" s="25"/>
      <c r="F13" s="208">
        <v>14.0</v>
      </c>
      <c r="G13" s="25"/>
      <c r="H13" s="1"/>
      <c r="I13" s="25"/>
      <c r="J13" s="208">
        <v>10.0</v>
      </c>
      <c r="K13" s="25"/>
      <c r="L13" s="208">
        <v>15.0</v>
      </c>
      <c r="M13" s="25"/>
      <c r="N13" s="1"/>
      <c r="O13" s="25"/>
      <c r="P13" s="1"/>
      <c r="Q13" s="25"/>
      <c r="R13" s="208">
        <v>15.0</v>
      </c>
      <c r="S13" s="25"/>
      <c r="T13" s="1"/>
      <c r="U13" s="25"/>
      <c r="V13" s="1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</row>
    <row r="14">
      <c r="A14" s="6" t="s">
        <v>442</v>
      </c>
      <c r="B14" s="237" t="s">
        <v>443</v>
      </c>
      <c r="C14" s="208" t="s">
        <v>46</v>
      </c>
      <c r="D14" s="237" t="s">
        <v>445</v>
      </c>
      <c r="E14" s="208" t="s">
        <v>46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237" t="s">
        <v>462</v>
      </c>
      <c r="S14" s="208" t="s">
        <v>60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239" t="s">
        <v>456</v>
      </c>
      <c r="B15" s="240">
        <v>0.92</v>
      </c>
      <c r="C15" s="241">
        <f>B15*(1+0.03*C$1+0.02*((C$1&gt;=2)+(C$1&gt;=10)+(C$1&gt;=15)+(C$1&gt;=20)+(C$1&gt;=30)))</f>
        <v>1.2328</v>
      </c>
      <c r="D15" s="240">
        <v>0.81</v>
      </c>
      <c r="E15" s="241">
        <f>D15*(1+0.03*E$1+0.02*((E$1&gt;=2)+(E$1&gt;=10)+(E$1&gt;=15)+(E$1&gt;=20)+(E$1&gt;=30)))</f>
        <v>1.0854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251">
        <v>1.615</v>
      </c>
      <c r="S15" s="241">
        <f>R15*(1+0.03*S$1+0.02*((S$1&gt;=2)+(S$1&gt;=10)+(S$1&gt;=15)+(S$1&gt;=20)+(S$1&gt;=30)))</f>
        <v>3.23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B16" s="245"/>
      <c r="C16" s="246"/>
      <c r="D16" s="245"/>
      <c r="E16" s="24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245"/>
      <c r="S16" s="246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B17" s="245"/>
      <c r="C17" s="246"/>
      <c r="D17" s="245"/>
      <c r="E17" s="24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245"/>
      <c r="S17" s="246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B18" s="249"/>
      <c r="C18" s="250"/>
      <c r="D18" s="249"/>
      <c r="E18" s="25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249"/>
      <c r="S18" s="250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6" t="s">
        <v>458</v>
      </c>
      <c r="B19" s="208">
        <v>15.0</v>
      </c>
      <c r="C19" s="25"/>
      <c r="D19" s="25"/>
      <c r="E19" s="25"/>
      <c r="F19" s="208">
        <v>14.0</v>
      </c>
      <c r="G19" s="25"/>
      <c r="H19" s="1"/>
      <c r="I19" s="25"/>
      <c r="J19" s="208">
        <v>10.0</v>
      </c>
      <c r="K19" s="25"/>
      <c r="L19" s="208">
        <v>15.0</v>
      </c>
      <c r="M19" s="25"/>
      <c r="N19" s="1"/>
      <c r="O19" s="25"/>
      <c r="P19" s="1"/>
      <c r="Q19" s="25"/>
      <c r="R19" s="252">
        <v>13.6</v>
      </c>
      <c r="S19" s="25"/>
      <c r="T19" s="1"/>
      <c r="U19" s="25"/>
      <c r="V19" s="1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>
      <c r="A20" s="1"/>
      <c r="B20" s="1"/>
      <c r="C20" s="208" t="s">
        <v>235</v>
      </c>
      <c r="D20" s="25"/>
      <c r="E20" s="208" t="s">
        <v>235</v>
      </c>
      <c r="F20" s="1"/>
      <c r="G20" s="208" t="s">
        <v>235</v>
      </c>
      <c r="H20" s="1"/>
      <c r="I20" s="208" t="s">
        <v>235</v>
      </c>
      <c r="J20" s="1"/>
      <c r="K20" s="208" t="s">
        <v>463</v>
      </c>
      <c r="L20" s="1"/>
      <c r="M20" s="208" t="s">
        <v>235</v>
      </c>
      <c r="N20" s="1"/>
      <c r="O20" s="208" t="s">
        <v>235</v>
      </c>
      <c r="P20" s="1"/>
      <c r="Q20" s="208" t="s">
        <v>235</v>
      </c>
      <c r="R20" s="1"/>
      <c r="S20" s="208" t="s">
        <v>235</v>
      </c>
      <c r="T20" s="1"/>
      <c r="U20" s="208" t="s">
        <v>235</v>
      </c>
      <c r="V20" s="1"/>
      <c r="W20" s="208" t="s">
        <v>235</v>
      </c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</row>
    <row r="21">
      <c r="A21" s="1"/>
      <c r="B21" s="1"/>
      <c r="C21" s="208" t="s">
        <v>463</v>
      </c>
      <c r="D21" s="25"/>
      <c r="E21" s="208" t="s">
        <v>464</v>
      </c>
      <c r="F21" s="1"/>
      <c r="G21" s="208" t="s">
        <v>463</v>
      </c>
      <c r="H21" s="1"/>
      <c r="I21" s="208" t="s">
        <v>463</v>
      </c>
      <c r="J21" s="1"/>
      <c r="K21" s="208" t="s">
        <v>465</v>
      </c>
      <c r="L21" s="1"/>
      <c r="M21" s="208" t="s">
        <v>466</v>
      </c>
      <c r="N21" s="1"/>
      <c r="O21" s="208" t="s">
        <v>466</v>
      </c>
      <c r="P21" s="1"/>
      <c r="Q21" s="208" t="s">
        <v>466</v>
      </c>
      <c r="R21" s="1"/>
      <c r="S21" s="208" t="s">
        <v>463</v>
      </c>
      <c r="T21" s="1"/>
      <c r="U21" s="208" t="s">
        <v>463</v>
      </c>
      <c r="V21" s="1"/>
      <c r="W21" s="208" t="s">
        <v>463</v>
      </c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</row>
    <row r="22">
      <c r="A22" s="1"/>
      <c r="B22" s="1"/>
      <c r="C22" s="208" t="s">
        <v>464</v>
      </c>
      <c r="D22" s="1"/>
      <c r="E22" s="1"/>
      <c r="F22" s="1"/>
      <c r="G22" s="208" t="s">
        <v>464</v>
      </c>
      <c r="H22" s="1"/>
      <c r="I22" s="1"/>
      <c r="J22" s="1"/>
      <c r="K22" s="208" t="s">
        <v>466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238"/>
      <c r="B23" s="237" t="str">
        <f>IFS(COUNTIF('종합'!C12:D14, "*충돌*")&gt;0, "충돌", COUNTIF('종합'!C12:D14, "*약점*")&gt;0, "약점", TRUE, "순정")</f>
        <v>약점</v>
      </c>
      <c r="C23" s="238"/>
      <c r="D23" s="238"/>
      <c r="E23" s="238"/>
      <c r="F23" s="237" t="str">
        <f>IF(COUNTIF('종합'!C12:D14, "*전진*")&gt;0, "전진", "순정")</f>
        <v>전진</v>
      </c>
      <c r="G23" s="253"/>
      <c r="H23" s="253"/>
      <c r="I23" s="253"/>
      <c r="J23" s="237" t="str">
        <f>IF(COUNTIF('종합'!C12:D14, "*순발력*")&gt;0, "순발력", "순정")</f>
        <v>순정</v>
      </c>
      <c r="K23" s="238"/>
      <c r="L23" s="237" t="str">
        <f>IF(COUNTIF('종합'!C12:D14, "*격파*")&gt;0, "격파", "순정")</f>
        <v>순정</v>
      </c>
      <c r="M23" s="238"/>
      <c r="N23" s="238"/>
      <c r="O23" s="238"/>
      <c r="P23" s="238"/>
      <c r="Q23" s="238"/>
      <c r="R23" s="238" t="str">
        <f>IFS(COUNTIF('종합'!C12:D14, "*열혈*")&gt;0, "열혈", COUNTIF('종합'!C12:D14, "*강격*")&gt;0, "강격", TRUE, "순정")</f>
        <v>강격</v>
      </c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  <c r="AI23" s="238"/>
      <c r="AJ23" s="238"/>
      <c r="AK23" s="238"/>
    </row>
    <row r="24">
      <c r="A24" s="6" t="s">
        <v>456</v>
      </c>
      <c r="B24" s="237" t="s">
        <v>443</v>
      </c>
      <c r="C24" s="237">
        <f t="array" ref="C24">XLOOKUP($B23, C2:C14, C3:C15)</f>
        <v>1.2328</v>
      </c>
      <c r="D24" s="237" t="s">
        <v>445</v>
      </c>
      <c r="E24" s="237">
        <f t="array" ref="E24">XLOOKUP($B23, E2:E14, E3:E15)</f>
        <v>1.0854</v>
      </c>
      <c r="F24" s="237" t="s">
        <v>446</v>
      </c>
      <c r="G24" s="237">
        <f t="array" ref="G24">XLOOKUP(F23, G2:G14, G3:G15)</f>
        <v>0.93</v>
      </c>
      <c r="H24" s="237" t="s">
        <v>447</v>
      </c>
      <c r="I24" s="237">
        <f t="array" ref="I24">XLOOKUP(F23, I2:I14, I3:I15)</f>
        <v>1.05</v>
      </c>
      <c r="J24" s="237" t="s">
        <v>448</v>
      </c>
      <c r="K24" s="237">
        <f t="array" ref="K24">XLOOKUP(J23, K2:K14, K3:K15)</f>
        <v>0.1139</v>
      </c>
      <c r="L24" s="237" t="s">
        <v>449</v>
      </c>
      <c r="M24" s="237">
        <f t="array" ref="M24">XLOOKUP(L23, M2:M14, M5:M17)</f>
        <v>0.18894</v>
      </c>
      <c r="N24" s="237" t="s">
        <v>450</v>
      </c>
      <c r="O24" s="237">
        <f t="array" ref="O24">XLOOKUP(L23, O2:O14, O5:O17)</f>
        <v>0.335</v>
      </c>
      <c r="P24" s="237" t="s">
        <v>451</v>
      </c>
      <c r="Q24" s="237">
        <f t="array" ref="Q24">XLOOKUP(L23, Q2:Q14, Q5:Q17)</f>
        <v>0.47436</v>
      </c>
      <c r="R24" s="151" t="str">
        <f>IF(COUNTIF(R23, "강격")&gt;0, "5", "5-1")</f>
        <v>5</v>
      </c>
      <c r="S24" s="237">
        <f t="array" ref="S24">XLOOKUP($R23, S2:S14, S3:S15)</f>
        <v>3.23</v>
      </c>
      <c r="T24" s="1" t="str">
        <f>IF(COUNTIF(R23, "강격")&gt;0, "", "5-2")</f>
        <v/>
      </c>
      <c r="U24" s="237" t="str">
        <f t="array" ref="U24">XLOOKUP($R23, U2:U14, U3:U15)</f>
        <v>#N/A</v>
      </c>
      <c r="V24" s="1" t="str">
        <f>IF(COUNTIF(R23, "강격")&gt;0, "", "5-3")</f>
        <v/>
      </c>
      <c r="W24" s="237" t="str">
        <f t="array" ref="W24">XLOOKUP($R23, W2:W14, W3:W15)</f>
        <v>#N/A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  <c r="AK24" s="238"/>
    </row>
    <row r="25">
      <c r="A25" s="1"/>
      <c r="B25" s="1"/>
      <c r="C25" s="1" t="str">
        <f t="array" ref="C25">XLOOKUP(B23, C2:C14, C6:C18)</f>
        <v/>
      </c>
      <c r="D25" s="1"/>
      <c r="E25" s="1"/>
      <c r="F25" s="238"/>
      <c r="G25" s="238"/>
      <c r="H25" s="23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6" t="s">
        <v>467</v>
      </c>
      <c r="B26" s="254">
        <f>IF(B23="약점", 1, 4)</f>
        <v>1</v>
      </c>
      <c r="C26" s="254">
        <f>B26*(1-('종합'!$K$21+if(B23="약점",0,'종합'!K18)))</f>
        <v>0.89584</v>
      </c>
      <c r="D26" s="254">
        <v>1.45</v>
      </c>
      <c r="E26" s="254">
        <f>D26*(1-'종합'!$K$21)</f>
        <v>1.298968</v>
      </c>
      <c r="F26" s="254">
        <v>1.0</v>
      </c>
      <c r="G26" s="254">
        <f>F26*(1-'종합'!$K$21)</f>
        <v>0.89584</v>
      </c>
      <c r="H26" s="254">
        <v>1.3</v>
      </c>
      <c r="I26" s="254">
        <f>H26*(1-'종합'!$K$21)</f>
        <v>1.164592</v>
      </c>
      <c r="J26" s="254">
        <v>0.85</v>
      </c>
      <c r="K26" s="254">
        <f>J26*(1-'종합'!$K$21)</f>
        <v>0.761464</v>
      </c>
      <c r="L26" s="254">
        <v>0.8</v>
      </c>
      <c r="M26" s="254">
        <f>L26*(1-'종합'!$K$21)</f>
        <v>0.716672</v>
      </c>
      <c r="N26" s="254">
        <v>0.8</v>
      </c>
      <c r="O26" s="254">
        <f>N26*(1-'종합'!$K$21)</f>
        <v>0.716672</v>
      </c>
      <c r="P26" s="254">
        <v>1.4</v>
      </c>
      <c r="Q26" s="254">
        <f>P26*(1-'종합'!$K$21)</f>
        <v>1.254176</v>
      </c>
      <c r="R26" s="254">
        <f>IF(R23="강격", 1.4, 0.55)</f>
        <v>1.4</v>
      </c>
      <c r="S26" s="254">
        <f>R26*(1-'종합'!$K$21)</f>
        <v>1.254176</v>
      </c>
      <c r="T26" s="255" t="str">
        <f>IF(R23="강격", , 0.85)</f>
        <v/>
      </c>
      <c r="U26" s="254">
        <f>T26*(1-'종합'!$K$21)</f>
        <v>0</v>
      </c>
      <c r="V26" s="255" t="str">
        <f>IF(R23="강격", , 1.15)</f>
        <v/>
      </c>
      <c r="W26" s="254">
        <f>V26*(1-'종합'!$K$21)</f>
        <v>0</v>
      </c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</row>
    <row r="27">
      <c r="A27" s="6">
        <v>7.0E-5</v>
      </c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6" t="s">
        <v>458</v>
      </c>
      <c r="B28" s="151">
        <f t="array" ref="B28">XLOOKUP(B23, C2:C14, B7:B19)</f>
        <v>15</v>
      </c>
      <c r="C28" s="151">
        <f t="array" ref="C28">B28*(1-(SUM(MAP(C20:C22, LAMBDA(cell, SWITCH(cell, "강타", '종합'!$E$28, "이동", '종합'!$E$29, "보조", '종합'!$E$30, "방해", '종합'!$E$31, "생존", '종합'!$E$32, 0))))))*(if('엠블럼룬'!$B$3=true,0.82,1))*(1/(1+'종합'!K20))</f>
        <v>13.935</v>
      </c>
      <c r="D28" s="1"/>
      <c r="E28" s="1"/>
      <c r="F28" s="151">
        <f t="array" ref="F28">XLOOKUP(F23, G2:G14, F7:F19)</f>
        <v>14</v>
      </c>
      <c r="G28" s="151">
        <f t="array" ref="G28">F28*(1-(SUM(MAP(G20:G22, LAMBDA(cell, SWITCH(cell, "강타", '종합'!$E$28, "이동", '종합'!$E$29, "보조", '종합'!$E$30, "방해", '종합'!$E$31, "생존", '종합'!$E$32, 0))))))*(if('엠블럼룬'!$B$3=true,0.82,1))*(1/(1+'종합'!$K$20))</f>
        <v>13.006</v>
      </c>
      <c r="H28" s="1"/>
      <c r="I28" s="1"/>
      <c r="J28" s="151">
        <f t="array" ref="J28">XLOOKUP(J23, K2:K14, J7:J19)</f>
        <v>10</v>
      </c>
      <c r="K28" s="151">
        <f t="array" ref="K28">J28*(1-(SUM(MAP(K20:K22, LAMBDA(cell, SWITCH(cell, "강타", '종합'!$E$28, "이동", '종합'!$E$29, "보조", '종합'!$E$30, "방해", '종합'!$E$31, "생존", '종합'!$E$32, 0))))))*(if('엠블럼룬'!$B$3=true,0.82,1))*(1/(1+'종합'!$K$20))</f>
        <v>9.5</v>
      </c>
      <c r="L28" s="151">
        <f t="array" ref="L28">XLOOKUP(L23, M2:M14, L7:L19)</f>
        <v>15</v>
      </c>
      <c r="M28" s="151">
        <f t="array" ref="M28">L28*(1-(SUM(MAP(M20:M22, LAMBDA(cell, SWITCH(cell, "강타", '종합'!$E$28, "이동", '종합'!$E$29, "보조", '종합'!$E$30, "방해", '종합'!$E$31, "생존", '종합'!$E$32, 0))))))*(if('엠블럼룬'!$B$3=true,0.82,1))*(1/(1+'종합'!$K$20))</f>
        <v>14.46</v>
      </c>
      <c r="N28" s="1"/>
      <c r="O28" s="1"/>
      <c r="P28" s="1"/>
      <c r="Q28" s="1"/>
      <c r="R28" s="151">
        <f t="array" ref="R28">XLOOKUP(R23, S2:S14, R7:R19)</f>
        <v>13.6</v>
      </c>
      <c r="S28" s="151">
        <f t="array" ref="S28">R28*(1-(SUM(MAP(S20:S22, LAMBDA(cell, SWITCH(cell, "강타", '종합'!$E$28, "이동", '종합'!$E$29, "보조", '종합'!$E$30, "방해", '종합'!$E$31, "생존", '종합'!$E$32, 0))))))*(if('엠블럼룬'!$B$3=true,0.82,1))*(1/(1+'종합'!$K$20))</f>
        <v>12.6344</v>
      </c>
      <c r="T28" s="1"/>
      <c r="U28" s="1"/>
      <c r="V28" s="1"/>
      <c r="W28" s="1"/>
      <c r="X28" s="1"/>
      <c r="Y28" s="1"/>
      <c r="Z28" s="1"/>
      <c r="AA28" s="1"/>
      <c r="AB28" s="25" t="s">
        <v>468</v>
      </c>
      <c r="AC28" s="1"/>
      <c r="AD28" s="1"/>
      <c r="AE28" s="1"/>
      <c r="AF28" s="151">
        <f t="array" ref="AF28">B28*(1-((SUM(MAP(C20:C22, LAMBDA(cell, SWITCH(cell, "강타", '종합'!$E$28, "이동", '종합'!$E$29, "보조", '종합'!$E$30, "방해", '종합'!$E$31, "생존", '종합'!$E$32, 0)))))+(if('엠블럼룬'!$B$3=true,0.18,0))))*(1/(1+'종합'!K20))</f>
        <v>13.935</v>
      </c>
      <c r="AG28" s="1"/>
      <c r="AH28" s="1"/>
      <c r="AI28" s="1"/>
      <c r="AJ28" s="1"/>
      <c r="AK28" s="1"/>
    </row>
    <row r="29">
      <c r="A29" s="25" t="s">
        <v>469</v>
      </c>
      <c r="B29" s="1"/>
      <c r="C29" s="151">
        <f t="array" ref="C29">C24*(1+(SUM(MAP(C$20:C$22, LAMBDA(cell, SWITCH(cell, "강타", '종합'!$C$28, "이동", '종합'!$C$29, "보조", '종합'!$C$30, "방해", '종합'!$C$31, "생존", '종합'!$C$32, 0))))))</f>
        <v>2.4199864</v>
      </c>
      <c r="D29" s="1"/>
      <c r="E29" s="151">
        <f t="array" ref="E29">E24*(1+(SUM(MAP(E$20:E$22, LAMBDA(cell, SWITCH(cell, "강타", '종합'!$C$28, "이동", '종합'!$C$29, "보조", '종합'!$C$30, "방해", '종합'!$C$31, "생존", '종합'!$C$32, 0))))))</f>
        <v>1.6194168</v>
      </c>
      <c r="F29" s="1"/>
      <c r="G29" s="151">
        <f t="array" ref="G29">G24*(1+(SUM(MAP(G$20:G$22, LAMBDA(cell, SWITCH(cell, "강타", '종합'!$C$28, "이동", '종합'!$C$29, "보조", '종합'!$C$30, "방해", '종합'!$C$31, "생존", '종합'!$C$32, 0))))))</f>
        <v>1.82559</v>
      </c>
      <c r="H29" s="1"/>
      <c r="I29" s="151">
        <f t="array" ref="I29">I24*(1+(SUM(MAP(I$20:I$22, LAMBDA(cell, SWITCH(cell, "강타", '종합'!$C$28, "이동", '종합'!$C$29, "보조", '종합'!$C$30, "방해", '종합'!$C$31, "생존", '종합'!$C$32, 0))))))</f>
        <v>2.0391</v>
      </c>
      <c r="J29" s="1"/>
      <c r="K29" s="151">
        <f t="array" ref="K29">K24*(1+(SUM(MAP(K$20:K$22, LAMBDA(cell, SWITCH(cell, "강타", '종합'!$C$28, "이동", '종합'!$C$29, "보조", '종합'!$C$30, "방해", '종합'!$C$31, "생존", '종합'!$C$32, 0))))))</f>
        <v>0.1699388</v>
      </c>
      <c r="L29" s="1"/>
      <c r="M29" s="151">
        <f t="array" ref="M29">M24*(1+(SUM(MAP(M$20:M$22, LAMBDA(cell, SWITCH(cell, "강타", '종합'!$C$28, "이동", '종합'!$C$29, "보조", '종합'!$C$30, "방해", '종합'!$C$31, "생존", '종합'!$C$32, 0))))))</f>
        <v>0.28189848</v>
      </c>
      <c r="N29" s="1"/>
      <c r="O29" s="151">
        <f t="array" ref="O29">O24*(1+(SUM(MAP(O$20:O$22, LAMBDA(cell, SWITCH(cell, "강타", '종합'!$C$28, "이동", '종합'!$C$29, "보조", '종합'!$C$30, "방해", '종합'!$C$31, "생존", '종합'!$C$32, 0))))))</f>
        <v>0.49982</v>
      </c>
      <c r="P29" s="1"/>
      <c r="Q29" s="151">
        <f t="array" ref="Q29">Q24*(1+(SUM(MAP(Q$20:Q$22, LAMBDA(cell, SWITCH(cell, "강타", '종합'!$C$28, "이동", '종합'!$C$29, "보조", '종합'!$C$30, "방해", '종합'!$C$31, "생존", '종합'!$C$32, 0))))))</f>
        <v>0.70774512</v>
      </c>
      <c r="R29" s="62"/>
      <c r="S29" s="151">
        <f t="array" ref="S29">S24*(1+(SUM(MAP(S$20:S$22, LAMBDA(cell, SWITCH(cell, "강타", '종합'!$C$28, "이동", '종합'!$C$29, "보조", '종합'!$C$30, "방해", '종합'!$C$31, "생존", '종합'!$C$32, 0))))))</f>
        <v>6.27266</v>
      </c>
      <c r="T29" s="62"/>
      <c r="U29" s="256" t="str">
        <f t="array" ref="U29">U24*(1+(SUM(MAP(U$20:U$22, LAMBDA(cell, SWITCH(cell, "강타", '종합'!$C$28, "이동", '종합'!$C$29, "보조", '종합'!$C$30, "방해", '종합'!$C$31, "생존", '종합'!$C$32, 0))))))</f>
        <v>#N/A</v>
      </c>
      <c r="V29" s="62"/>
      <c r="W29" s="256" t="str">
        <f t="array" ref="W29">W24*(1+(SUM(MAP(W$20:W$22, LAMBDA(cell, SWITCH(cell, "강타", '종합'!$C$28, "이동", '종합'!$C$29, "보조", '종합'!$C$30, "방해", '종합'!$C$31, "생존", '종합'!$C$32, 0))))))</f>
        <v>#N/A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"/>
      <c r="B30" s="1"/>
      <c r="C30" s="151">
        <f t="array" ref="C30">C25*(1+(SUM(MAP(C$20:C$22, LAMBDA(cell, SWITCH(cell, "강타", '종합'!$C$28, "이동", '종합'!$C$29, "보조", '종합'!$C$30, "방해", '종합'!$C$31, "생존", '종합'!$C$32, 0))))))</f>
        <v>0</v>
      </c>
      <c r="D30" s="1"/>
      <c r="E30" s="1"/>
      <c r="F30" s="1"/>
      <c r="G30" s="1"/>
      <c r="H30" s="1"/>
      <c r="I30" s="1"/>
      <c r="J30" s="1"/>
      <c r="K30" s="1"/>
      <c r="L30" s="62"/>
      <c r="M30" s="1"/>
      <c r="N30" s="1"/>
      <c r="O30" s="1"/>
      <c r="P30" s="1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62"/>
      <c r="M31" s="1"/>
      <c r="N31" s="1"/>
      <c r="O31" s="1"/>
      <c r="P31" s="1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</row>
    <row r="32">
      <c r="A32" s="1"/>
      <c r="B32" s="25" t="str">
        <f>'종합'!C37&amp;" "&amp;'종합'!C37</f>
        <v>2352 12 2352 12</v>
      </c>
      <c r="C32" s="208">
        <f>LEN(SUBSTITUTE(B32," ",""))/2</f>
        <v>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</row>
    <row r="33">
      <c r="A33" s="1" t="str">
        <f t="shared" ref="A33:AH33" si="9">IFERROR(MID(SUBSTITUTE($B32," ",""),COLUMN(),1),"")</f>
        <v>2</v>
      </c>
      <c r="B33" s="1" t="str">
        <f t="shared" si="9"/>
        <v>3</v>
      </c>
      <c r="C33" s="1" t="str">
        <f t="shared" si="9"/>
        <v>5</v>
      </c>
      <c r="D33" s="1" t="str">
        <f t="shared" si="9"/>
        <v>2</v>
      </c>
      <c r="E33" s="1" t="str">
        <f t="shared" si="9"/>
        <v>1</v>
      </c>
      <c r="F33" s="1" t="str">
        <f t="shared" si="9"/>
        <v>2</v>
      </c>
      <c r="G33" s="1" t="str">
        <f t="shared" si="9"/>
        <v>2</v>
      </c>
      <c r="H33" s="1" t="str">
        <f t="shared" si="9"/>
        <v>3</v>
      </c>
      <c r="I33" s="1" t="str">
        <f t="shared" si="9"/>
        <v>5</v>
      </c>
      <c r="J33" s="1" t="str">
        <f t="shared" si="9"/>
        <v>2</v>
      </c>
      <c r="K33" s="1" t="str">
        <f t="shared" si="9"/>
        <v>1</v>
      </c>
      <c r="L33" s="1" t="str">
        <f t="shared" si="9"/>
        <v>2</v>
      </c>
      <c r="M33" s="1" t="str">
        <f t="shared" si="9"/>
        <v/>
      </c>
      <c r="N33" s="1" t="str">
        <f t="shared" si="9"/>
        <v/>
      </c>
      <c r="O33" s="1" t="str">
        <f t="shared" si="9"/>
        <v/>
      </c>
      <c r="P33" s="1" t="str">
        <f t="shared" si="9"/>
        <v/>
      </c>
      <c r="Q33" s="1" t="str">
        <f t="shared" si="9"/>
        <v/>
      </c>
      <c r="R33" s="1" t="str">
        <f t="shared" si="9"/>
        <v/>
      </c>
      <c r="S33" s="1" t="str">
        <f t="shared" si="9"/>
        <v/>
      </c>
      <c r="T33" s="1" t="str">
        <f t="shared" si="9"/>
        <v/>
      </c>
      <c r="U33" s="1" t="str">
        <f t="shared" si="9"/>
        <v/>
      </c>
      <c r="V33" s="1" t="str">
        <f t="shared" si="9"/>
        <v/>
      </c>
      <c r="W33" s="1" t="str">
        <f t="shared" si="9"/>
        <v/>
      </c>
      <c r="X33" s="1" t="str">
        <f t="shared" si="9"/>
        <v/>
      </c>
      <c r="Y33" s="1" t="str">
        <f t="shared" si="9"/>
        <v/>
      </c>
      <c r="Z33" s="1" t="str">
        <f t="shared" si="9"/>
        <v/>
      </c>
      <c r="AA33" s="1" t="str">
        <f t="shared" si="9"/>
        <v/>
      </c>
      <c r="AB33" s="1" t="str">
        <f t="shared" si="9"/>
        <v/>
      </c>
      <c r="AC33" s="1" t="str">
        <f t="shared" si="9"/>
        <v/>
      </c>
      <c r="AD33" s="1" t="str">
        <f t="shared" si="9"/>
        <v/>
      </c>
      <c r="AE33" s="1" t="str">
        <f t="shared" si="9"/>
        <v/>
      </c>
      <c r="AF33" s="1" t="str">
        <f t="shared" si="9"/>
        <v/>
      </c>
      <c r="AG33" s="1" t="str">
        <f t="shared" si="9"/>
        <v/>
      </c>
      <c r="AH33" s="1" t="str">
        <f t="shared" si="9"/>
        <v/>
      </c>
      <c r="AI33" s="62"/>
      <c r="AJ33" s="62"/>
      <c r="AK33" s="62"/>
    </row>
    <row r="34">
      <c r="A34" s="238" t="str">
        <f t="array" ref="A34">LET(
    digit, IFERROR(VALUE(A33),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2-1</v>
      </c>
      <c r="B34" s="238" t="str">
        <f t="array" ref="B34">LET(
    digit, IFERROR(VALUE(B33),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3</v>
      </c>
      <c r="C34" s="238" t="str">
        <f t="array" ref="C34">LET(
    digit, IFERROR(VALUE(C33),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5</v>
      </c>
      <c r="D34" s="238" t="str">
        <f t="array" ref="D34">LET(
    digit, IFERROR(VALUE(D33),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2-2</v>
      </c>
      <c r="E34" s="238" t="str">
        <f t="array" ref="E34">LET(
    digit, IFERROR(VALUE(E33),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1-1</v>
      </c>
      <c r="F34" s="238" t="str">
        <f t="array" ref="F34">LET(
    digit, IFERROR(VALUE(F33),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2-2</v>
      </c>
      <c r="G34" s="238" t="str">
        <f t="array" ref="G34">LET(
    digit, IFERROR(VALUE(G33),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2-1</v>
      </c>
      <c r="H34" s="238" t="str">
        <f t="array" ref="H34">LET(
    digit, IFERROR(VALUE(H33),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3</v>
      </c>
      <c r="I34" s="238" t="str">
        <f t="array" ref="I34">LET(
    digit, IFERROR(VALUE(I33),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5</v>
      </c>
      <c r="J34" s="238" t="str">
        <f t="array" ref="J34">LET(
    digit, IFERROR(VALUE(J33),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2-2</v>
      </c>
      <c r="K34" s="238" t="str">
        <f t="array" ref="K34">LET(
    digit, IFERROR(VALUE(K33),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1-1</v>
      </c>
      <c r="L34" s="238" t="str">
        <f t="array" ref="L34">LET(
    digit, IFERROR(VALUE(L33),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2-2</v>
      </c>
      <c r="M34" s="238" t="str">
        <f t="array" ref="M34">LET(
    digit, IFERROR(VALUE(M33),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N34" s="238" t="str">
        <f t="array" ref="N34">LET(
    digit, IFERROR(VALUE(N33),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O34" s="238" t="str">
        <f t="array" ref="O34">LET(
    digit, IFERROR(VALUE(O33),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P34" s="238" t="str">
        <f t="array" ref="P34">LET(
    digit, IFERROR(VALUE(P33),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Q34" s="238" t="str">
        <f t="array" ref="Q34">LET(
    digit, IFERROR(VALUE(Q33),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R34" s="238" t="str">
        <f t="array" ref="R34">LET(
    digit, IFERROR(VALUE(R33),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S34" s="238" t="str">
        <f t="array" ref="S34">LET(
    digit, IFERROR(VALUE(S33),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T34" s="238" t="str">
        <f t="array" ref="T34">LET(
    digit, IFERROR(VALUE(T33),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U34" s="238" t="str">
        <f t="array" ref="U34">LET(
    digit, IFERROR(VALUE(U33),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V34" s="238" t="str">
        <f t="array" ref="V34">LET(
    digit, IFERROR(VALUE(V33),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W34" s="238" t="str">
        <f t="array" ref="W34">LET(
    digit, IFERROR(VALUE(W33),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X34" s="238" t="str">
        <f t="array" ref="X34">LET(
    digit, IFERROR(VALUE(X33),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Y34" s="238" t="str">
        <f t="array" ref="Y34">LET(
    digit, IFERROR(VALUE(Y33),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Z34" s="238" t="str">
        <f t="array" ref="Z34">LET(
    digit, IFERROR(VALUE(Z33),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A34" s="238" t="str">
        <f t="array" ref="AA34">LET(
    digit, IFERROR(VALUE(AA33),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B34" s="238" t="str">
        <f t="array" ref="AB34">LET(
    digit, IFERROR(VALUE(AB33),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C34" s="238" t="str">
        <f t="array" ref="AC34">LET(
    digit, IFERROR(VALUE(AC33),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D34" s="238" t="str">
        <f t="array" ref="AD34">LET(
    digit, IFERROR(VALUE(AD33),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E34" s="238" t="str">
        <f t="array" ref="AE34">LET(
    digit, IFERROR(VALUE(AE33),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F34" s="238" t="str">
        <f t="array" ref="AF34">LET(
    digit, IFERROR(VALUE(AF33),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G34" s="238" t="str">
        <f t="array" ref="AG34">LET(
    digit, IFERROR(VALUE(AG33),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H34" s="238" t="str">
        <f t="array" ref="AH34">LET(
    digit, IFERROR(VALUE(AH33),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I34" s="238"/>
      <c r="AJ34" s="238" t="s">
        <v>470</v>
      </c>
      <c r="AK34" s="62" t="s">
        <v>107</v>
      </c>
    </row>
    <row r="35">
      <c r="A35" s="151">
        <f t="shared" ref="A35:AH35" si="10">IFNA(OFFSET(INDEX($24:$24, MATCH(A34, $24:$24, 0)), 5, 1), "")</f>
        <v>1.82559</v>
      </c>
      <c r="B35" s="151">
        <f t="shared" si="10"/>
        <v>0.1699388</v>
      </c>
      <c r="C35" s="151">
        <f t="shared" si="10"/>
        <v>6.27266</v>
      </c>
      <c r="D35" s="151">
        <f t="shared" si="10"/>
        <v>2.0391</v>
      </c>
      <c r="E35" s="151">
        <f t="shared" si="10"/>
        <v>2.4199864</v>
      </c>
      <c r="F35" s="151">
        <f t="shared" si="10"/>
        <v>2.0391</v>
      </c>
      <c r="G35" s="151">
        <f t="shared" si="10"/>
        <v>1.82559</v>
      </c>
      <c r="H35" s="151">
        <f t="shared" si="10"/>
        <v>0.1699388</v>
      </c>
      <c r="I35" s="151">
        <f t="shared" si="10"/>
        <v>6.27266</v>
      </c>
      <c r="J35" s="151">
        <f t="shared" si="10"/>
        <v>2.0391</v>
      </c>
      <c r="K35" s="151">
        <f t="shared" si="10"/>
        <v>2.4199864</v>
      </c>
      <c r="L35" s="151">
        <f t="shared" si="10"/>
        <v>2.0391</v>
      </c>
      <c r="M35" s="151" t="str">
        <f t="shared" si="10"/>
        <v/>
      </c>
      <c r="N35" s="151" t="str">
        <f t="shared" si="10"/>
        <v/>
      </c>
      <c r="O35" s="151" t="str">
        <f t="shared" si="10"/>
        <v/>
      </c>
      <c r="P35" s="151" t="str">
        <f t="shared" si="10"/>
        <v/>
      </c>
      <c r="Q35" s="151" t="str">
        <f t="shared" si="10"/>
        <v/>
      </c>
      <c r="R35" s="151" t="str">
        <f t="shared" si="10"/>
        <v/>
      </c>
      <c r="S35" s="151" t="str">
        <f t="shared" si="10"/>
        <v/>
      </c>
      <c r="T35" s="151" t="str">
        <f t="shared" si="10"/>
        <v/>
      </c>
      <c r="U35" s="1" t="str">
        <f t="shared" si="10"/>
        <v/>
      </c>
      <c r="V35" s="1" t="str">
        <f t="shared" si="10"/>
        <v/>
      </c>
      <c r="W35" s="1" t="str">
        <f t="shared" si="10"/>
        <v/>
      </c>
      <c r="X35" s="1" t="str">
        <f t="shared" si="10"/>
        <v/>
      </c>
      <c r="Y35" s="1" t="str">
        <f t="shared" si="10"/>
        <v/>
      </c>
      <c r="Z35" s="1" t="str">
        <f t="shared" si="10"/>
        <v/>
      </c>
      <c r="AA35" s="1" t="str">
        <f t="shared" si="10"/>
        <v/>
      </c>
      <c r="AB35" s="1" t="str">
        <f t="shared" si="10"/>
        <v/>
      </c>
      <c r="AC35" s="1" t="str">
        <f t="shared" si="10"/>
        <v/>
      </c>
      <c r="AD35" s="1" t="str">
        <f t="shared" si="10"/>
        <v/>
      </c>
      <c r="AE35" s="1" t="str">
        <f t="shared" si="10"/>
        <v/>
      </c>
      <c r="AF35" s="1" t="str">
        <f t="shared" si="10"/>
        <v/>
      </c>
      <c r="AG35" s="1" t="str">
        <f t="shared" si="10"/>
        <v/>
      </c>
      <c r="AH35" s="1" t="str">
        <f t="shared" si="10"/>
        <v/>
      </c>
      <c r="AI35" s="62"/>
      <c r="AJ35" s="62"/>
      <c r="AK35" s="62" t="s">
        <v>469</v>
      </c>
    </row>
    <row r="36">
      <c r="A36" s="1"/>
      <c r="B36" s="1"/>
      <c r="C36" s="151">
        <f t="shared" ref="C36:AH36" si="11">IFS(
    OR(C34="3", ISBLANK(C34)), "",
    AND(B34="3", OR(A34="1-1", A34="2-1", A34="4-2", A34="5-2")), 0.35,
    OR(B34="1-1", B34="2-1", B34="4-2", B34="5-2"), 0.35,
    TRUE, ""
)</f>
        <v>0.35</v>
      </c>
      <c r="D36" s="1" t="str">
        <f t="shared" si="11"/>
        <v/>
      </c>
      <c r="E36" s="1" t="str">
        <f t="shared" si="11"/>
        <v/>
      </c>
      <c r="F36" s="1">
        <f t="shared" si="11"/>
        <v>0.35</v>
      </c>
      <c r="G36" s="1" t="str">
        <f t="shared" si="11"/>
        <v/>
      </c>
      <c r="H36" s="151" t="str">
        <f t="shared" si="11"/>
        <v/>
      </c>
      <c r="I36" s="151">
        <f t="shared" si="11"/>
        <v>0.35</v>
      </c>
      <c r="J36" s="1" t="str">
        <f t="shared" si="11"/>
        <v/>
      </c>
      <c r="K36" s="1" t="str">
        <f t="shared" si="11"/>
        <v/>
      </c>
      <c r="L36" s="1">
        <f t="shared" si="11"/>
        <v>0.35</v>
      </c>
      <c r="M36" s="151" t="str">
        <f t="shared" si="11"/>
        <v/>
      </c>
      <c r="N36" s="1" t="str">
        <f t="shared" si="11"/>
        <v/>
      </c>
      <c r="O36" s="1" t="str">
        <f t="shared" si="11"/>
        <v/>
      </c>
      <c r="P36" s="1" t="str">
        <f t="shared" si="11"/>
        <v/>
      </c>
      <c r="Q36" s="1" t="str">
        <f t="shared" si="11"/>
        <v/>
      </c>
      <c r="R36" s="151" t="str">
        <f t="shared" si="11"/>
        <v/>
      </c>
      <c r="S36" s="151" t="str">
        <f t="shared" si="11"/>
        <v/>
      </c>
      <c r="T36" s="1" t="str">
        <f t="shared" si="11"/>
        <v/>
      </c>
      <c r="U36" s="1" t="str">
        <f t="shared" si="11"/>
        <v/>
      </c>
      <c r="V36" s="1" t="str">
        <f t="shared" si="11"/>
        <v/>
      </c>
      <c r="W36" s="1" t="str">
        <f t="shared" si="11"/>
        <v/>
      </c>
      <c r="X36" s="1" t="str">
        <f t="shared" si="11"/>
        <v/>
      </c>
      <c r="Y36" s="1" t="str">
        <f t="shared" si="11"/>
        <v/>
      </c>
      <c r="Z36" s="1" t="str">
        <f t="shared" si="11"/>
        <v/>
      </c>
      <c r="AA36" s="1" t="str">
        <f t="shared" si="11"/>
        <v/>
      </c>
      <c r="AB36" s="1" t="str">
        <f t="shared" si="11"/>
        <v/>
      </c>
      <c r="AC36" s="1" t="str">
        <f t="shared" si="11"/>
        <v/>
      </c>
      <c r="AD36" s="1" t="str">
        <f t="shared" si="11"/>
        <v/>
      </c>
      <c r="AE36" s="1" t="str">
        <f t="shared" si="11"/>
        <v/>
      </c>
      <c r="AF36" s="1" t="str">
        <f t="shared" si="11"/>
        <v/>
      </c>
      <c r="AG36" s="1" t="str">
        <f t="shared" si="11"/>
        <v/>
      </c>
      <c r="AH36" s="1" t="str">
        <f t="shared" si="11"/>
        <v/>
      </c>
      <c r="AI36" s="62"/>
      <c r="AJ36" s="62"/>
      <c r="AK36" s="62" t="s">
        <v>471</v>
      </c>
    </row>
    <row r="37">
      <c r="A37" s="1"/>
      <c r="B37" s="1"/>
      <c r="C37" s="1" t="str">
        <f t="shared" ref="C37:AH37" si="12">IF(OR(C34="4-1", C34="4-2", C34="4-3"), C35, "")</f>
        <v/>
      </c>
      <c r="D37" s="1" t="str">
        <f t="shared" si="12"/>
        <v/>
      </c>
      <c r="E37" s="151" t="str">
        <f t="shared" si="12"/>
        <v/>
      </c>
      <c r="F37" s="151" t="str">
        <f t="shared" si="12"/>
        <v/>
      </c>
      <c r="G37" s="1" t="str">
        <f t="shared" si="12"/>
        <v/>
      </c>
      <c r="H37" s="1" t="str">
        <f t="shared" si="12"/>
        <v/>
      </c>
      <c r="I37" s="151" t="str">
        <f t="shared" si="12"/>
        <v/>
      </c>
      <c r="J37" s="1" t="str">
        <f t="shared" si="12"/>
        <v/>
      </c>
      <c r="K37" s="1" t="str">
        <f t="shared" si="12"/>
        <v/>
      </c>
      <c r="L37" s="1" t="str">
        <f t="shared" si="12"/>
        <v/>
      </c>
      <c r="M37" s="1" t="str">
        <f t="shared" si="12"/>
        <v/>
      </c>
      <c r="N37" s="1" t="str">
        <f t="shared" si="12"/>
        <v/>
      </c>
      <c r="O37" s="151" t="str">
        <f t="shared" si="12"/>
        <v/>
      </c>
      <c r="P37" s="151" t="str">
        <f t="shared" si="12"/>
        <v/>
      </c>
      <c r="Q37" s="1" t="str">
        <f t="shared" si="12"/>
        <v/>
      </c>
      <c r="R37" s="1" t="str">
        <f t="shared" si="12"/>
        <v/>
      </c>
      <c r="S37" s="151" t="str">
        <f t="shared" si="12"/>
        <v/>
      </c>
      <c r="T37" s="1" t="str">
        <f t="shared" si="12"/>
        <v/>
      </c>
      <c r="U37" s="1" t="str">
        <f t="shared" si="12"/>
        <v/>
      </c>
      <c r="V37" s="1" t="str">
        <f t="shared" si="12"/>
        <v/>
      </c>
      <c r="W37" s="1" t="str">
        <f t="shared" si="12"/>
        <v/>
      </c>
      <c r="X37" s="1" t="str">
        <f t="shared" si="12"/>
        <v/>
      </c>
      <c r="Y37" s="1" t="str">
        <f t="shared" si="12"/>
        <v/>
      </c>
      <c r="Z37" s="1" t="str">
        <f t="shared" si="12"/>
        <v/>
      </c>
      <c r="AA37" s="1" t="str">
        <f t="shared" si="12"/>
        <v/>
      </c>
      <c r="AB37" s="1" t="str">
        <f t="shared" si="12"/>
        <v/>
      </c>
      <c r="AC37" s="1" t="str">
        <f t="shared" si="12"/>
        <v/>
      </c>
      <c r="AD37" s="1" t="str">
        <f t="shared" si="12"/>
        <v/>
      </c>
      <c r="AE37" s="1" t="str">
        <f t="shared" si="12"/>
        <v/>
      </c>
      <c r="AF37" s="1" t="str">
        <f t="shared" si="12"/>
        <v/>
      </c>
      <c r="AG37" s="1" t="str">
        <f t="shared" si="12"/>
        <v/>
      </c>
      <c r="AH37" s="1" t="str">
        <f t="shared" si="12"/>
        <v/>
      </c>
      <c r="AI37" s="62"/>
      <c r="AJ37" s="62"/>
      <c r="AK37" s="62" t="s">
        <v>461</v>
      </c>
    </row>
    <row r="38">
      <c r="A38" s="1"/>
      <c r="B38" s="1"/>
      <c r="C38" s="151">
        <f t="shared" ref="C38:AH38" si="13">if(C34="3",0,0.15)</f>
        <v>0.15</v>
      </c>
      <c r="D38" s="151">
        <f t="shared" si="13"/>
        <v>0.15</v>
      </c>
      <c r="E38" s="151">
        <f t="shared" si="13"/>
        <v>0.15</v>
      </c>
      <c r="F38" s="151">
        <f t="shared" si="13"/>
        <v>0.15</v>
      </c>
      <c r="G38" s="151">
        <f t="shared" si="13"/>
        <v>0.15</v>
      </c>
      <c r="H38" s="151">
        <f t="shared" si="13"/>
        <v>0</v>
      </c>
      <c r="I38" s="151">
        <f t="shared" si="13"/>
        <v>0.15</v>
      </c>
      <c r="J38" s="151">
        <f t="shared" si="13"/>
        <v>0.15</v>
      </c>
      <c r="K38" s="151">
        <f t="shared" si="13"/>
        <v>0.15</v>
      </c>
      <c r="L38" s="151">
        <f t="shared" si="13"/>
        <v>0.15</v>
      </c>
      <c r="M38" s="151">
        <f t="shared" si="13"/>
        <v>0.15</v>
      </c>
      <c r="N38" s="151">
        <f t="shared" si="13"/>
        <v>0.15</v>
      </c>
      <c r="O38" s="151">
        <f t="shared" si="13"/>
        <v>0.15</v>
      </c>
      <c r="P38" s="151">
        <f t="shared" si="13"/>
        <v>0.15</v>
      </c>
      <c r="Q38" s="151">
        <f t="shared" si="13"/>
        <v>0.15</v>
      </c>
      <c r="R38" s="151">
        <f t="shared" si="13"/>
        <v>0.15</v>
      </c>
      <c r="S38" s="151">
        <f t="shared" si="13"/>
        <v>0.15</v>
      </c>
      <c r="T38" s="151">
        <f t="shared" si="13"/>
        <v>0.15</v>
      </c>
      <c r="U38" s="151">
        <f t="shared" si="13"/>
        <v>0.15</v>
      </c>
      <c r="V38" s="151">
        <f t="shared" si="13"/>
        <v>0.15</v>
      </c>
      <c r="W38" s="151">
        <f t="shared" si="13"/>
        <v>0.15</v>
      </c>
      <c r="X38" s="151">
        <f t="shared" si="13"/>
        <v>0.15</v>
      </c>
      <c r="Y38" s="151">
        <f t="shared" si="13"/>
        <v>0.15</v>
      </c>
      <c r="Z38" s="151">
        <f t="shared" si="13"/>
        <v>0.15</v>
      </c>
      <c r="AA38" s="151">
        <f t="shared" si="13"/>
        <v>0.15</v>
      </c>
      <c r="AB38" s="151">
        <f t="shared" si="13"/>
        <v>0.15</v>
      </c>
      <c r="AC38" s="151">
        <f t="shared" si="13"/>
        <v>0.15</v>
      </c>
      <c r="AD38" s="151">
        <f t="shared" si="13"/>
        <v>0.15</v>
      </c>
      <c r="AE38" s="151">
        <f t="shared" si="13"/>
        <v>0.15</v>
      </c>
      <c r="AF38" s="151">
        <f t="shared" si="13"/>
        <v>0.15</v>
      </c>
      <c r="AG38" s="151">
        <f t="shared" si="13"/>
        <v>0.15</v>
      </c>
      <c r="AH38" s="151">
        <f t="shared" si="13"/>
        <v>0.15</v>
      </c>
      <c r="AI38" s="62"/>
      <c r="AJ38" s="62"/>
      <c r="AK38" s="62" t="s">
        <v>472</v>
      </c>
    </row>
    <row r="39">
      <c r="A39" s="1"/>
      <c r="B39" s="1"/>
      <c r="C39" s="151">
        <f>IFERROR(__xludf.DUMMYFUNCTION("LET(
    target_regex, ""^5$|^5-3$|^1-2$|^2-2$|^4-3$"",
    IF(REGEXMATCH(TO_TEXT(C34), target_regex),
        IF(B34=""2-1"", 0.5,
        IF(REGEXMATCH(TO_TEXT(B34), target_regex), 0,
            IF(A34=""2-1"", 0.5,
            IF(REGEXMATCH(TO_TEXT(A3"&amp;"4), target_regex), 0,
                IF(#REF!=""2-1"", 0.5,
                IF(REGEXMATCH(TO_TEXT(#REF!), target_regex), 0,
                    IF(#REF!=""2-1"", 0.5,
                    IF(REGEXMATCH(TO_TEXT(#REF!), target_regex), 0, """")
             "&amp;"       )
                ))
            ))
        )),
    """")
)*IF($F$23=""전진"", 1, 0)"),0.5)</f>
        <v>0.5</v>
      </c>
      <c r="D39" s="151">
        <f>IFERROR(__xludf.DUMMYFUNCTION("LET(
    target_regex, ""^5$|^5-3$|^1-2$|^2-2$|^4-3$"",
    IF(REGEXMATCH(TO_TEXT(D34), target_regex),
        IF(C34=""2-1"", 0.5,
        IF(REGEXMATCH(TO_TEXT(C34), target_regex), 0,
            IF(B34=""2-1"", 0.5,
            IF(REGEXMATCH(TO_TEXT(B3"&amp;"4), target_regex), 0,
                IF(A34=""2-1"", 0.5,
                IF(REGEXMATCH(TO_TEXT(A34), target_regex), 0,
                    IF(#REF!=""2-1"", 0.5,
                    IF(REGEXMATCH(TO_TEXT(#REF!), target_regex), 0, """")
                 "&amp;"   )
                ))
            ))
        )),
    """")
)*IF($F$23=""전진"", 1, 0)"),0.0)</f>
        <v>0</v>
      </c>
      <c r="E39" s="151">
        <f>IFERROR(__xludf.DUMMYFUNCTION("LET(
    target_regex, ""^5$|^5-3$|^1-2$|^2-2$|^4-3$"",
    IF(REGEXMATCH(TO_TEXT(E34), target_regex),
        IF(D34=""2-1"", 0.5,
        IF(REGEXMATCH(TO_TEXT(D34), target_regex), 0,
            IF(C34=""2-1"", 0.5,
            IF(REGEXMATCH(TO_TEXT(C3"&amp;"4), target_regex), 0,
                IF(B34=""2-1"", 0.5,
                IF(REGEXMATCH(TO_TEXT(B34), target_regex), 0,
                    IF(A34=""2-1"", 0.5,
                    IF(REGEXMATCH(TO_TEXT(A34), target_regex), 0, """")
                    )"&amp;"
                ))
            ))
        )),
    """")
)*IF($F$23=""전진"", 1, 0)"),0.0)</f>
        <v>0</v>
      </c>
      <c r="F39" s="151">
        <f>IFERROR(__xludf.DUMMYFUNCTION("LET(
    target_regex, ""^5$|^5-3$|^1-2$|^2-2$|^4-3$"",
    IF(REGEXMATCH(TO_TEXT(F34), target_regex),
        IF(E34=""2-1"", 0.5,
        IF(REGEXMATCH(TO_TEXT(E34), target_regex), 0,
            IF(D34=""2-1"", 0.5,
            IF(REGEXMATCH(TO_TEXT(D3"&amp;"4), target_regex), 0,
                IF(C34=""2-1"", 0.5,
                IF(REGEXMATCH(TO_TEXT(C34), target_regex), 0,
                    IF(B34=""2-1"", 0.5,
                    IF(REGEXMATCH(TO_TEXT(B34), target_regex), 0, """")
                    )"&amp;"
                ))
            ))
        )),
    """")
)*IF($F$23=""전진"", 1, 0)"),0.0)</f>
        <v>0</v>
      </c>
      <c r="G39" s="151">
        <f>IFERROR(__xludf.DUMMYFUNCTION("LET(
    target_regex, ""^5$|^5-3$|^1-2$|^2-2$|^4-3$"",
    IF(REGEXMATCH(TO_TEXT(G34), target_regex),
        IF(F34=""2-1"", 0.5,
        IF(REGEXMATCH(TO_TEXT(F34), target_regex), 0,
            IF(E34=""2-1"", 0.5,
            IF(REGEXMATCH(TO_TEXT(E3"&amp;"4), target_regex), 0,
                IF(D34=""2-1"", 0.5,
                IF(REGEXMATCH(TO_TEXT(D34), target_regex), 0,
                    IF(C34=""2-1"", 0.5,
                    IF(REGEXMATCH(TO_TEXT(C34), target_regex), 0, """")
                    )"&amp;"
                ))
            ))
        )),
    """")
)*IF($F$23=""전진"", 1, 0)"),0.0)</f>
        <v>0</v>
      </c>
      <c r="H39" s="151">
        <f>IFERROR(__xludf.DUMMYFUNCTION("LET(
    target_regex, ""^5$|^5-3$|^1-2$|^2-2$|^4-3$"",
    IF(REGEXMATCH(TO_TEXT(H34), target_regex),
        IF(G34=""2-1"", 0.5,
        IF(REGEXMATCH(TO_TEXT(G34), target_regex), 0,
            IF(F34=""2-1"", 0.5,
            IF(REGEXMATCH(TO_TEXT(F3"&amp;"4), target_regex), 0,
                IF(E34=""2-1"", 0.5,
                IF(REGEXMATCH(TO_TEXT(E34), target_regex), 0,
                    IF(D34=""2-1"", 0.5,
                    IF(REGEXMATCH(TO_TEXT(D34), target_regex), 0, """")
                    )"&amp;"
                ))
            ))
        )),
    """")
)*IF($F$23=""전진"", 1, 0)"),0.0)</f>
        <v>0</v>
      </c>
      <c r="I39" s="151">
        <f>IFERROR(__xludf.DUMMYFUNCTION("LET(
    target_regex, ""^5$|^5-3$|^1-2$|^2-2$|^4-3$"",
    IF(REGEXMATCH(TO_TEXT(I34), target_regex),
        IF(H34=""2-1"", 0.5,
        IF(REGEXMATCH(TO_TEXT(H34), target_regex), 0,
            IF(G34=""2-1"", 0.5,
            IF(REGEXMATCH(TO_TEXT(G3"&amp;"4), target_regex), 0,
                IF(F34=""2-1"", 0.5,
                IF(REGEXMATCH(TO_TEXT(F34), target_regex), 0,
                    IF(E34=""2-1"", 0.5,
                    IF(REGEXMATCH(TO_TEXT(E34), target_regex), 0, """")
                    )"&amp;"
                ))
            ))
        )),
    """")
)*IF($F$23=""전진"", 1, 0)"),0.5)</f>
        <v>0.5</v>
      </c>
      <c r="J39" s="151">
        <f>IFERROR(__xludf.DUMMYFUNCTION("LET(
    target_regex, ""^5$|^5-3$|^1-2$|^2-2$|^4-3$"",
    IF(REGEXMATCH(TO_TEXT(J34), target_regex),
        IF(I34=""2-1"", 0.5,
        IF(REGEXMATCH(TO_TEXT(I34), target_regex), 0,
            IF(H34=""2-1"", 0.5,
            IF(REGEXMATCH(TO_TEXT(H3"&amp;"4), target_regex), 0,
                IF(G34=""2-1"", 0.5,
                IF(REGEXMATCH(TO_TEXT(G34), target_regex), 0,
                    IF(F34=""2-1"", 0.5,
                    IF(REGEXMATCH(TO_TEXT(F34), target_regex), 0, """")
                    )"&amp;"
                ))
            ))
        )),
    """")
)*IF($F$23=""전진"", 1, 0)"),0.0)</f>
        <v>0</v>
      </c>
      <c r="K39" s="151">
        <f>IFERROR(__xludf.DUMMYFUNCTION("LET(
    target_regex, ""^5$|^5-3$|^1-2$|^2-2$|^4-3$"",
    IF(REGEXMATCH(TO_TEXT(K34), target_regex),
        IF(J34=""2-1"", 0.5,
        IF(REGEXMATCH(TO_TEXT(J34), target_regex), 0,
            IF(I34=""2-1"", 0.5,
            IF(REGEXMATCH(TO_TEXT(I3"&amp;"4), target_regex), 0,
                IF(H34=""2-1"", 0.5,
                IF(REGEXMATCH(TO_TEXT(H34), target_regex), 0,
                    IF(G34=""2-1"", 0.5,
                    IF(REGEXMATCH(TO_TEXT(G34), target_regex), 0, """")
                    )"&amp;"
                ))
            ))
        )),
    """")
)*IF($F$23=""전진"", 1, 0)"),0.0)</f>
        <v>0</v>
      </c>
      <c r="L39" s="151">
        <f>IFERROR(__xludf.DUMMYFUNCTION("LET(
    target_regex, ""^5$|^5-3$|^1-2$|^2-2$|^4-3$"",
    IF(REGEXMATCH(TO_TEXT(L34), target_regex),
        IF(K34=""2-1"", 0.5,
        IF(REGEXMATCH(TO_TEXT(K34), target_regex), 0,
            IF(J34=""2-1"", 0.5,
            IF(REGEXMATCH(TO_TEXT(J3"&amp;"4), target_regex), 0,
                IF(I34=""2-1"", 0.5,
                IF(REGEXMATCH(TO_TEXT(I34), target_regex), 0,
                    IF(H34=""2-1"", 0.5,
                    IF(REGEXMATCH(TO_TEXT(H34), target_regex), 0, """")
                    )"&amp;"
                ))
            ))
        )),
    """")
)*IF($F$23=""전진"", 1, 0)"),0.0)</f>
        <v>0</v>
      </c>
      <c r="M39" s="151">
        <f>IFERROR(__xludf.DUMMYFUNCTION("LET(
    target_regex, ""^5$|^5-3$|^1-2$|^2-2$|^4-3$"",
    IF(REGEXMATCH(TO_TEXT(M34), target_regex),
        IF(L34=""2-1"", 0.5,
        IF(REGEXMATCH(TO_TEXT(L34), target_regex), 0,
            IF(K34=""2-1"", 0.5,
            IF(REGEXMATCH(TO_TEXT(K3"&amp;"4), target_regex), 0,
                IF(J34=""2-1"", 0.5,
                IF(REGEXMATCH(TO_TEXT(J34), target_regex), 0,
                    IF(I34=""2-1"", 0.5,
                    IF(REGEXMATCH(TO_TEXT(I34), target_regex), 0, """")
                    )"&amp;"
                ))
            ))
        )),
    """")
)*IF($F$23=""전진"", 1, 0)"),0.0)</f>
        <v>0</v>
      </c>
      <c r="N39" s="151">
        <f>IFERROR(__xludf.DUMMYFUNCTION("LET(
    target_regex, ""^5$|^5-3$|^1-2$|^2-2$|^4-3$"",
    IF(REGEXMATCH(TO_TEXT(N34), target_regex),
        IF(M34=""2-1"", 0.5,
        IF(REGEXMATCH(TO_TEXT(M34), target_regex), 0,
            IF(L34=""2-1"", 0.5,
            IF(REGEXMATCH(TO_TEXT(L3"&amp;"4), target_regex), 0,
                IF(K34=""2-1"", 0.5,
                IF(REGEXMATCH(TO_TEXT(K34), target_regex), 0,
                    IF(J34=""2-1"", 0.5,
                    IF(REGEXMATCH(TO_TEXT(J34), target_regex), 0, """")
                    )"&amp;"
                ))
            ))
        )),
    """")
)*IF($F$23=""전진"", 1, 0)"),0.0)</f>
        <v>0</v>
      </c>
      <c r="O39" s="151">
        <f>IFERROR(__xludf.DUMMYFUNCTION("LET(
    target_regex, ""^5$|^5-3$|^1-2$|^2-2$|^4-3$"",
    IF(REGEXMATCH(TO_TEXT(O34), target_regex),
        IF(N34=""2-1"", 0.5,
        IF(REGEXMATCH(TO_TEXT(N34), target_regex), 0,
            IF(M34=""2-1"", 0.5,
            IF(REGEXMATCH(TO_TEXT(M3"&amp;"4), target_regex), 0,
                IF(L34=""2-1"", 0.5,
                IF(REGEXMATCH(TO_TEXT(L34), target_regex), 0,
                    IF(K34=""2-1"", 0.5,
                    IF(REGEXMATCH(TO_TEXT(K34), target_regex), 0, """")
                    )"&amp;"
                ))
            ))
        )),
    """")
)*IF($F$23=""전진"", 1, 0)"),0.0)</f>
        <v>0</v>
      </c>
      <c r="P39" s="151">
        <f>IFERROR(__xludf.DUMMYFUNCTION("LET(
    target_regex, ""^5$|^5-3$|^1-2$|^2-2$|^4-3$"",
    IF(REGEXMATCH(TO_TEXT(P34), target_regex),
        IF(O34=""2-1"", 0.5,
        IF(REGEXMATCH(TO_TEXT(O34), target_regex), 0,
            IF(N34=""2-1"", 0.5,
            IF(REGEXMATCH(TO_TEXT(N3"&amp;"4), target_regex), 0,
                IF(M34=""2-1"", 0.5,
                IF(REGEXMATCH(TO_TEXT(M34), target_regex), 0,
                    IF(L34=""2-1"", 0.5,
                    IF(REGEXMATCH(TO_TEXT(L34), target_regex), 0, """")
                    )"&amp;"
                ))
            ))
        )),
    """")
)*IF($F$23=""전진"", 1, 0)"),0.0)</f>
        <v>0</v>
      </c>
      <c r="Q39" s="151">
        <f>IFERROR(__xludf.DUMMYFUNCTION("LET(
    target_regex, ""^5$|^5-3$|^1-2$|^2-2$|^4-3$"",
    IF(REGEXMATCH(TO_TEXT(Q34), target_regex),
        IF(P34=""2-1"", 0.5,
        IF(REGEXMATCH(TO_TEXT(P34), target_regex), 0,
            IF(O34=""2-1"", 0.5,
            IF(REGEXMATCH(TO_TEXT(O3"&amp;"4), target_regex), 0,
                IF(N34=""2-1"", 0.5,
                IF(REGEXMATCH(TO_TEXT(N34), target_regex), 0,
                    IF(M34=""2-1"", 0.5,
                    IF(REGEXMATCH(TO_TEXT(M34), target_regex), 0, """")
                    )"&amp;"
                ))
            ))
        )),
    """")
)*IF($F$23=""전진"", 1, 0)"),0.0)</f>
        <v>0</v>
      </c>
      <c r="R39" s="151">
        <f>IFERROR(__xludf.DUMMYFUNCTION("LET(
    target_regex, ""^5$|^5-3$|^1-2$|^2-2$|^4-3$"",
    IF(REGEXMATCH(TO_TEXT(R34), target_regex),
        IF(Q34=""2-1"", 0.5,
        IF(REGEXMATCH(TO_TEXT(Q34), target_regex), 0,
            IF(P34=""2-1"", 0.5,
            IF(REGEXMATCH(TO_TEXT(P3"&amp;"4), target_regex), 0,
                IF(O34=""2-1"", 0.5,
                IF(REGEXMATCH(TO_TEXT(O34), target_regex), 0,
                    IF(N34=""2-1"", 0.5,
                    IF(REGEXMATCH(TO_TEXT(N34), target_regex), 0, """")
                    )"&amp;"
                ))
            ))
        )),
    """")
)*IF($F$23=""전진"", 1, 0)"),0.0)</f>
        <v>0</v>
      </c>
      <c r="S39" s="151">
        <f>IFERROR(__xludf.DUMMYFUNCTION("LET(
    target_regex, ""^5$|^5-3$|^1-2$|^2-2$|^4-3$"",
    IF(REGEXMATCH(TO_TEXT(S34), target_regex),
        IF(R34=""2-1"", 0.5,
        IF(REGEXMATCH(TO_TEXT(R34), target_regex), 0,
            IF(Q34=""2-1"", 0.5,
            IF(REGEXMATCH(TO_TEXT(Q3"&amp;"4), target_regex), 0,
                IF(P34=""2-1"", 0.5,
                IF(REGEXMATCH(TO_TEXT(P34), target_regex), 0,
                    IF(O34=""2-1"", 0.5,
                    IF(REGEXMATCH(TO_TEXT(O34), target_regex), 0, """")
                    )"&amp;"
                ))
            ))
        )),
    """")
)*IF($F$23=""전진"", 1, 0)"),0.0)</f>
        <v>0</v>
      </c>
      <c r="T39" s="151">
        <f>IFERROR(__xludf.DUMMYFUNCTION("LET(
    target_regex, ""^5$|^5-3$|^1-2$|^2-2$|^4-3$"",
    IF(REGEXMATCH(TO_TEXT(T34), target_regex),
        IF(S34=""2-1"", 0.5,
        IF(REGEXMATCH(TO_TEXT(S34), target_regex), 0,
            IF(R34=""2-1"", 0.5,
            IF(REGEXMATCH(TO_TEXT(R3"&amp;"4), target_regex), 0,
                IF(Q34=""2-1"", 0.5,
                IF(REGEXMATCH(TO_TEXT(Q34), target_regex), 0,
                    IF(P34=""2-1"", 0.5,
                    IF(REGEXMATCH(TO_TEXT(P34), target_regex), 0, """")
                    )"&amp;"
                ))
            ))
        )),
    """")
)*IF($F$23=""전진"", 1, 0)"),0.0)</f>
        <v>0</v>
      </c>
      <c r="U39" s="151">
        <f>IFERROR(__xludf.DUMMYFUNCTION("LET(
    target_regex, ""^5$|^5-3$|^1-2$|^2-2$|^4-3$"",
    IF(REGEXMATCH(TO_TEXT(U34), target_regex),
        IF(T34=""2-1"", 0.5,
        IF(REGEXMATCH(TO_TEXT(T34), target_regex), 0,
            IF(S34=""2-1"", 0.5,
            IF(REGEXMATCH(TO_TEXT(S3"&amp;"4), target_regex), 0,
                IF(R34=""2-1"", 0.5,
                IF(REGEXMATCH(TO_TEXT(R34), target_regex), 0,
                    IF(Q34=""2-1"", 0.5,
                    IF(REGEXMATCH(TO_TEXT(Q34), target_regex), 0, """")
                    )"&amp;"
                ))
            ))
        )),
    """")
)*IF($F$23=""전진"", 1, 0)"),0.0)</f>
        <v>0</v>
      </c>
      <c r="V39" s="151">
        <f>IFERROR(__xludf.DUMMYFUNCTION("LET(
    target_regex, ""^5$|^5-3$|^1-2$|^2-2$|^4-3$"",
    IF(REGEXMATCH(TO_TEXT(V34), target_regex),
        IF(U34=""2-1"", 0.5,
        IF(REGEXMATCH(TO_TEXT(U34), target_regex), 0,
            IF(T34=""2-1"", 0.5,
            IF(REGEXMATCH(TO_TEXT(T3"&amp;"4), target_regex), 0,
                IF(S34=""2-1"", 0.5,
                IF(REGEXMATCH(TO_TEXT(S34), target_regex), 0,
                    IF(R34=""2-1"", 0.5,
                    IF(REGEXMATCH(TO_TEXT(R34), target_regex), 0, """")
                    )"&amp;"
                ))
            ))
        )),
    """")
)*IF($F$23=""전진"", 1, 0)"),0.0)</f>
        <v>0</v>
      </c>
      <c r="W39" s="151">
        <f>IFERROR(__xludf.DUMMYFUNCTION("LET(
    target_regex, ""^5$|^5-3$|^1-2$|^2-2$|^4-3$"",
    IF(REGEXMATCH(TO_TEXT(W34), target_regex),
        IF(V34=""2-1"", 0.5,
        IF(REGEXMATCH(TO_TEXT(V34), target_regex), 0,
            IF(U34=""2-1"", 0.5,
            IF(REGEXMATCH(TO_TEXT(U3"&amp;"4), target_regex), 0,
                IF(T34=""2-1"", 0.5,
                IF(REGEXMATCH(TO_TEXT(T34), target_regex), 0,
                    IF(S34=""2-1"", 0.5,
                    IF(REGEXMATCH(TO_TEXT(S34), target_regex), 0, """")
                    )"&amp;"
                ))
            ))
        )),
    """")
)*IF($F$23=""전진"", 1, 0)"),0.0)</f>
        <v>0</v>
      </c>
      <c r="X39" s="151">
        <f>IFERROR(__xludf.DUMMYFUNCTION("LET(
    target_regex, ""^5$|^5-3$|^1-2$|^2-2$|^4-3$"",
    IF(REGEXMATCH(TO_TEXT(X34), target_regex),
        IF(W34=""2-1"", 0.5,
        IF(REGEXMATCH(TO_TEXT(W34), target_regex), 0,
            IF(V34=""2-1"", 0.5,
            IF(REGEXMATCH(TO_TEXT(V3"&amp;"4), target_regex), 0,
                IF(U34=""2-1"", 0.5,
                IF(REGEXMATCH(TO_TEXT(U34), target_regex), 0,
                    IF(T34=""2-1"", 0.5,
                    IF(REGEXMATCH(TO_TEXT(T34), target_regex), 0, """")
                    )"&amp;"
                ))
            ))
        )),
    """")
)*IF($F$23=""전진"", 1, 0)"),0.0)</f>
        <v>0</v>
      </c>
      <c r="Y39" s="151">
        <f>IFERROR(__xludf.DUMMYFUNCTION("LET(
    target_regex, ""^5$|^5-3$|^1-2$|^2-2$|^4-3$"",
    IF(REGEXMATCH(TO_TEXT(Y34), target_regex),
        IF(X34=""2-1"", 0.5,
        IF(REGEXMATCH(TO_TEXT(X34), target_regex), 0,
            IF(W34=""2-1"", 0.5,
            IF(REGEXMATCH(TO_TEXT(W3"&amp;"4), target_regex), 0,
                IF(V34=""2-1"", 0.5,
                IF(REGEXMATCH(TO_TEXT(V34), target_regex), 0,
                    IF(U34=""2-1"", 0.5,
                    IF(REGEXMATCH(TO_TEXT(U34), target_regex), 0, """")
                    )"&amp;"
                ))
            ))
        )),
    """")
)*IF($F$23=""전진"", 1, 0)"),0.0)</f>
        <v>0</v>
      </c>
      <c r="Z39" s="151">
        <f>IFERROR(__xludf.DUMMYFUNCTION("LET(
    target_regex, ""^5$|^5-3$|^1-2$|^2-2$|^4-3$"",
    IF(REGEXMATCH(TO_TEXT(Z34), target_regex),
        IF(Y34=""2-1"", 0.5,
        IF(REGEXMATCH(TO_TEXT(Y34), target_regex), 0,
            IF(X34=""2-1"", 0.5,
            IF(REGEXMATCH(TO_TEXT(X3"&amp;"4), target_regex), 0,
                IF(W34=""2-1"", 0.5,
                IF(REGEXMATCH(TO_TEXT(W34), target_regex), 0,
                    IF(V34=""2-1"", 0.5,
                    IF(REGEXMATCH(TO_TEXT(V34), target_regex), 0, """")
                    )"&amp;"
                ))
            ))
        )),
    """")
)*IF($F$23=""전진"", 1, 0)"),0.0)</f>
        <v>0</v>
      </c>
      <c r="AA39" s="151">
        <f>IFERROR(__xludf.DUMMYFUNCTION("LET(
    target_regex, ""^5$|^5-3$|^1-2$|^2-2$|^4-3$"",
    IF(REGEXMATCH(TO_TEXT(AA34), target_regex),
        IF(Z34=""2-1"", 0.5,
        IF(REGEXMATCH(TO_TEXT(Z34), target_regex), 0,
            IF(Y34=""2-1"", 0.5,
            IF(REGEXMATCH(TO_TEXT(Y"&amp;"34), target_regex), 0,
                IF(X34=""2-1"", 0.5,
                IF(REGEXMATCH(TO_TEXT(X34), target_regex), 0,
                    IF(W34=""2-1"", 0.5,
                    IF(REGEXMATCH(TO_TEXT(W34), target_regex), 0, """")
                    "&amp;")
                ))
            ))
        )),
    """")
)*IF($F$23=""전진"", 1, 0)"),0.0)</f>
        <v>0</v>
      </c>
      <c r="AB39" s="151">
        <f>IFERROR(__xludf.DUMMYFUNCTION("LET(
    target_regex, ""^5$|^5-3$|^1-2$|^2-2$|^4-3$"",
    IF(REGEXMATCH(TO_TEXT(AB34), target_regex),
        IF(AA34=""2-1"", 0.5,
        IF(REGEXMATCH(TO_TEXT(AA34), target_regex), 0,
            IF(Z34=""2-1"", 0.5,
            IF(REGEXMATCH(TO_TEXT"&amp;"(Z34), target_regex), 0,
                IF(Y34=""2-1"", 0.5,
                IF(REGEXMATCH(TO_TEXT(Y34), target_regex), 0,
                    IF(X34=""2-1"", 0.5,
                    IF(REGEXMATCH(TO_TEXT(X34), target_regex), 0, """")
                  "&amp;"  )
                ))
            ))
        )),
    """")
)*IF($F$23=""전진"", 1, 0)"),0.0)</f>
        <v>0</v>
      </c>
      <c r="AC39" s="151">
        <f>IFERROR(__xludf.DUMMYFUNCTION("LET(
    target_regex, ""^5$|^5-3$|^1-2$|^2-2$|^4-3$"",
    IF(REGEXMATCH(TO_TEXT(AC34), target_regex),
        IF(AB34=""2-1"", 0.5,
        IF(REGEXMATCH(TO_TEXT(AB34), target_regex), 0,
            IF(AA34=""2-1"", 0.5,
            IF(REGEXMATCH(TO_TEX"&amp;"T(AA34), target_regex), 0,
                IF(Z34=""2-1"", 0.5,
                IF(REGEXMATCH(TO_TEXT(Z34), target_regex), 0,
                    IF(Y34=""2-1"", 0.5,
                    IF(REGEXMATCH(TO_TEXT(Y34), target_regex), 0, """")
                "&amp;"    )
                ))
            ))
        )),
    """")
)*IF($F$23=""전진"", 1, 0)"),0.0)</f>
        <v>0</v>
      </c>
      <c r="AD39" s="151">
        <f>IFERROR(__xludf.DUMMYFUNCTION("LET(
    target_regex, ""^5$|^5-3$|^1-2$|^2-2$|^4-3$"",
    IF(REGEXMATCH(TO_TEXT(AD34), target_regex),
        IF(AC34=""2-1"", 0.5,
        IF(REGEXMATCH(TO_TEXT(AC34), target_regex), 0,
            IF(AB34=""2-1"", 0.5,
            IF(REGEXMATCH(TO_TEX"&amp;"T(AB34), target_regex), 0,
                IF(AA34=""2-1"", 0.5,
                IF(REGEXMATCH(TO_TEXT(AA34), target_regex), 0,
                    IF(Z34=""2-1"", 0.5,
                    IF(REGEXMATCH(TO_TEXT(Z34), target_regex), 0, """")
              "&amp;"      )
                ))
            ))
        )),
    """")
)*IF($F$23=""전진"", 1, 0)"),0.0)</f>
        <v>0</v>
      </c>
      <c r="AE39" s="151">
        <f>IFERROR(__xludf.DUMMYFUNCTION("LET(
    target_regex, ""^5$|^5-3$|^1-2$|^2-2$|^4-3$"",
    IF(REGEXMATCH(TO_TEXT(AE34), target_regex),
        IF(AD34=""2-1"", 0.5,
        IF(REGEXMATCH(TO_TEXT(AD34), target_regex), 0,
            IF(AC34=""2-1"", 0.5,
            IF(REGEXMATCH(TO_TEX"&amp;"T(AC34), target_regex), 0,
                IF(AB34=""2-1"", 0.5,
                IF(REGEXMATCH(TO_TEXT(AB34), target_regex), 0,
                    IF(AA34=""2-1"", 0.5,
                    IF(REGEXMATCH(TO_TEXT(AA34), target_regex), 0, """")
            "&amp;"        )
                ))
            ))
        )),
    """")
)*IF($F$23=""전진"", 1, 0)"),0.0)</f>
        <v>0</v>
      </c>
      <c r="AF39" s="151">
        <f>IFERROR(__xludf.DUMMYFUNCTION("LET(
    target_regex, ""^5$|^5-3$|^1-2$|^2-2$|^4-3$"",
    IF(REGEXMATCH(TO_TEXT(AF34), target_regex),
        IF(AE34=""2-1"", 0.5,
        IF(REGEXMATCH(TO_TEXT(AE34), target_regex), 0,
            IF(AD34=""2-1"", 0.5,
            IF(REGEXMATCH(TO_TEX"&amp;"T(AD34), target_regex), 0,
                IF(AC34=""2-1"", 0.5,
                IF(REGEXMATCH(TO_TEXT(AC34), target_regex), 0,
                    IF(AB34=""2-1"", 0.5,
                    IF(REGEXMATCH(TO_TEXT(AB34), target_regex), 0, """")
            "&amp;"        )
                ))
            ))
        )),
    """")
)*IF($F$23=""전진"", 1, 0)"),0.0)</f>
        <v>0</v>
      </c>
      <c r="AG39" s="151">
        <f>IFERROR(__xludf.DUMMYFUNCTION("LET(
    target_regex, ""^5$|^5-3$|^1-2$|^2-2$|^4-3$"",
    IF(REGEXMATCH(TO_TEXT(AG34), target_regex),
        IF(AF34=""2-1"", 0.5,
        IF(REGEXMATCH(TO_TEXT(AF34), target_regex), 0,
            IF(AE34=""2-1"", 0.5,
            IF(REGEXMATCH(TO_TEX"&amp;"T(AE34), target_regex), 0,
                IF(AD34=""2-1"", 0.5,
                IF(REGEXMATCH(TO_TEXT(AD34), target_regex), 0,
                    IF(AC34=""2-1"", 0.5,
                    IF(REGEXMATCH(TO_TEXT(AC34), target_regex), 0, """")
            "&amp;"        )
                ))
            ))
        )),
    """")
)*IF($F$23=""전진"", 1, 0)"),0.0)</f>
        <v>0</v>
      </c>
      <c r="AH39" s="151">
        <f>IFERROR(__xludf.DUMMYFUNCTION("LET(
    target_regex, ""^5$|^5-3$|^1-2$|^2-2$|^4-3$"",
    IF(REGEXMATCH(TO_TEXT(AH34), target_regex),
        IF(AG34=""2-1"", 0.5,
        IF(REGEXMATCH(TO_TEXT(AG34), target_regex), 0,
            IF(AF34=""2-1"", 0.5,
            IF(REGEXMATCH(TO_TEX"&amp;"T(AF34), target_regex), 0,
                IF(AE34=""2-1"", 0.5,
                IF(REGEXMATCH(TO_TEXT(AE34), target_regex), 0,
                    IF(AD34=""2-1"", 0.5,
                    IF(REGEXMATCH(TO_TEXT(AD34), target_regex), 0, """")
            "&amp;"        )
                ))
            ))
        )),
    """")
)*IF($F$23=""전진"", 1, 0)"),0.0)</f>
        <v>0</v>
      </c>
      <c r="AI39" s="62"/>
      <c r="AJ39" s="62"/>
      <c r="AK39" s="62" t="s">
        <v>473</v>
      </c>
    </row>
    <row r="40">
      <c r="A40" s="1"/>
      <c r="B40" s="1"/>
      <c r="C40" s="151">
        <f t="shared" ref="C40:AH40" si="14">IF(AND(B34="3", C34&lt;&gt;"3"), 0.5, "")</f>
        <v>0.5</v>
      </c>
      <c r="D40" s="1" t="str">
        <f t="shared" si="14"/>
        <v/>
      </c>
      <c r="E40" s="1" t="str">
        <f t="shared" si="14"/>
        <v/>
      </c>
      <c r="F40" s="1" t="str">
        <f t="shared" si="14"/>
        <v/>
      </c>
      <c r="G40" s="1" t="str">
        <f t="shared" si="14"/>
        <v/>
      </c>
      <c r="H40" s="151" t="str">
        <f t="shared" si="14"/>
        <v/>
      </c>
      <c r="I40" s="1">
        <f t="shared" si="14"/>
        <v>0.5</v>
      </c>
      <c r="J40" s="1" t="str">
        <f t="shared" si="14"/>
        <v/>
      </c>
      <c r="K40" s="1" t="str">
        <f t="shared" si="14"/>
        <v/>
      </c>
      <c r="L40" s="1" t="str">
        <f t="shared" si="14"/>
        <v/>
      </c>
      <c r="M40" s="151" t="str">
        <f t="shared" si="14"/>
        <v/>
      </c>
      <c r="N40" s="1" t="str">
        <f t="shared" si="14"/>
        <v/>
      </c>
      <c r="O40" s="1" t="str">
        <f t="shared" si="14"/>
        <v/>
      </c>
      <c r="P40" s="1" t="str">
        <f t="shared" si="14"/>
        <v/>
      </c>
      <c r="Q40" s="1" t="str">
        <f t="shared" si="14"/>
        <v/>
      </c>
      <c r="R40" s="151" t="str">
        <f t="shared" si="14"/>
        <v/>
      </c>
      <c r="S40" s="1" t="str">
        <f t="shared" si="14"/>
        <v/>
      </c>
      <c r="T40" s="1" t="str">
        <f t="shared" si="14"/>
        <v/>
      </c>
      <c r="U40" s="1" t="str">
        <f t="shared" si="14"/>
        <v/>
      </c>
      <c r="V40" s="1" t="str">
        <f t="shared" si="14"/>
        <v/>
      </c>
      <c r="W40" s="1" t="str">
        <f t="shared" si="14"/>
        <v/>
      </c>
      <c r="X40" s="1" t="str">
        <f t="shared" si="14"/>
        <v/>
      </c>
      <c r="Y40" s="1" t="str">
        <f t="shared" si="14"/>
        <v/>
      </c>
      <c r="Z40" s="1" t="str">
        <f t="shared" si="14"/>
        <v/>
      </c>
      <c r="AA40" s="1" t="str">
        <f t="shared" si="14"/>
        <v/>
      </c>
      <c r="AB40" s="1" t="str">
        <f t="shared" si="14"/>
        <v/>
      </c>
      <c r="AC40" s="1" t="str">
        <f t="shared" si="14"/>
        <v/>
      </c>
      <c r="AD40" s="1" t="str">
        <f t="shared" si="14"/>
        <v/>
      </c>
      <c r="AE40" s="1" t="str">
        <f t="shared" si="14"/>
        <v/>
      </c>
      <c r="AF40" s="1" t="str">
        <f t="shared" si="14"/>
        <v/>
      </c>
      <c r="AG40" s="1" t="str">
        <f t="shared" si="14"/>
        <v/>
      </c>
      <c r="AH40" s="1" t="str">
        <f t="shared" si="14"/>
        <v/>
      </c>
      <c r="AI40" s="62"/>
      <c r="AJ40" s="62"/>
      <c r="AK40" s="62" t="s">
        <v>474</v>
      </c>
    </row>
    <row r="41">
      <c r="A41" s="1"/>
      <c r="B41" s="1"/>
      <c r="C41" s="257">
        <f>'종합'!$K$9</f>
        <v>0.3959952941</v>
      </c>
      <c r="D41" s="257">
        <f>'종합'!$K$9</f>
        <v>0.3959952941</v>
      </c>
      <c r="E41" s="257">
        <f>'종합'!$K$9</f>
        <v>0.3959952941</v>
      </c>
      <c r="F41" s="257">
        <f>'종합'!$K$9</f>
        <v>0.3959952941</v>
      </c>
      <c r="G41" s="257">
        <f>'종합'!$K$9</f>
        <v>0.3959952941</v>
      </c>
      <c r="H41" s="257">
        <f>'종합'!$K$9</f>
        <v>0.3959952941</v>
      </c>
      <c r="I41" s="257">
        <f>'종합'!$K$9</f>
        <v>0.3959952941</v>
      </c>
      <c r="J41" s="257">
        <f>'종합'!$K$9</f>
        <v>0.3959952941</v>
      </c>
      <c r="K41" s="257">
        <f>'종합'!$K$9</f>
        <v>0.3959952941</v>
      </c>
      <c r="L41" s="257">
        <f>'종합'!$K$9</f>
        <v>0.3959952941</v>
      </c>
      <c r="M41" s="257">
        <f>'종합'!$K$9</f>
        <v>0.3959952941</v>
      </c>
      <c r="N41" s="257">
        <f>'종합'!$K$9</f>
        <v>0.3959952941</v>
      </c>
      <c r="O41" s="257">
        <f>'종합'!$K$9</f>
        <v>0.3959952941</v>
      </c>
      <c r="P41" s="257">
        <f>'종합'!$K$9</f>
        <v>0.3959952941</v>
      </c>
      <c r="Q41" s="257">
        <f>'종합'!$K$9</f>
        <v>0.3959952941</v>
      </c>
      <c r="R41" s="257">
        <f>'종합'!$K$9</f>
        <v>0.3959952941</v>
      </c>
      <c r="S41" s="257">
        <f>'종합'!$K$9</f>
        <v>0.3959952941</v>
      </c>
      <c r="T41" s="257">
        <f>'종합'!$K$9</f>
        <v>0.3959952941</v>
      </c>
      <c r="U41" s="257">
        <f>'종합'!$K$9</f>
        <v>0.3959952941</v>
      </c>
      <c r="V41" s="257">
        <f>'종합'!$K$9</f>
        <v>0.3959952941</v>
      </c>
      <c r="W41" s="257">
        <f>'종합'!$K$9</f>
        <v>0.3959952941</v>
      </c>
      <c r="X41" s="257">
        <f>'종합'!$K$9</f>
        <v>0.3959952941</v>
      </c>
      <c r="Y41" s="257">
        <f>'종합'!$K$9</f>
        <v>0.3959952941</v>
      </c>
      <c r="Z41" s="257">
        <f>'종합'!$K$9</f>
        <v>0.3959952941</v>
      </c>
      <c r="AA41" s="257">
        <f>'종합'!$K$9</f>
        <v>0.3959952941</v>
      </c>
      <c r="AB41" s="257">
        <f>'종합'!$K$9</f>
        <v>0.3959952941</v>
      </c>
      <c r="AC41" s="257">
        <f>'종합'!$K$9</f>
        <v>0.3959952941</v>
      </c>
      <c r="AD41" s="257">
        <f>'종합'!$K$9</f>
        <v>0.3959952941</v>
      </c>
      <c r="AE41" s="257">
        <f>'종합'!$K$9</f>
        <v>0.3959952941</v>
      </c>
      <c r="AF41" s="257">
        <f>'종합'!$K$9</f>
        <v>0.3959952941</v>
      </c>
      <c r="AG41" s="257">
        <f>'종합'!$K$9</f>
        <v>0.3959952941</v>
      </c>
      <c r="AH41" s="257">
        <f>'종합'!$K$9</f>
        <v>0.3959952941</v>
      </c>
      <c r="AI41" s="62"/>
      <c r="AJ41" s="62"/>
      <c r="AK41" s="62" t="s">
        <v>235</v>
      </c>
    </row>
    <row r="42">
      <c r="A42" s="1"/>
      <c r="B42" s="1"/>
      <c r="C42" s="257">
        <f>IF($B$23="약점", '종합'!$K$10, '종합'!$K$10*IF(C34="1-1",$AA$3,1))</f>
        <v>0.6300863529</v>
      </c>
      <c r="D42" s="257">
        <f>IF($B$23="약점", '종합'!$K$10, '종합'!$K$10*IF(D34="1-1",$AA$3,1))</f>
        <v>0.6300863529</v>
      </c>
      <c r="E42" s="257">
        <f>IF($B$23="약점", '종합'!$K$10, '종합'!$K$10*IF(E34="1-1",$AA$3,1))</f>
        <v>0.6300863529</v>
      </c>
      <c r="F42" s="257">
        <f>IF($B$23="약점", '종합'!$K$10, '종합'!$K$10*IF(F34="1-1",$AA$3,1))</f>
        <v>0.6300863529</v>
      </c>
      <c r="G42" s="257">
        <f>IF($B$23="약점", '종합'!$K$10, '종합'!$K$10*IF(G34="1-1",$AA$3,1))</f>
        <v>0.6300863529</v>
      </c>
      <c r="H42" s="257">
        <f>IF($B$23="약점", '종합'!$K$10, '종합'!$K$10*IF(H34="1-1",$AA$3,1))</f>
        <v>0.6300863529</v>
      </c>
      <c r="I42" s="257">
        <f>IF($B$23="약점", '종합'!$K$10, '종합'!$K$10*IF(I34="1-1",$AA$3,1))</f>
        <v>0.6300863529</v>
      </c>
      <c r="J42" s="257">
        <f>IF($B$23="약점", '종합'!$K$10, '종합'!$K$10*IF(J34="1-1",$AA$3,1))</f>
        <v>0.6300863529</v>
      </c>
      <c r="K42" s="257">
        <f>IF($B$23="약점", '종합'!$K$10, '종합'!$K$10*IF(K34="1-1",$AA$3,1))</f>
        <v>0.6300863529</v>
      </c>
      <c r="L42" s="257">
        <f>IF($B$23="약점", '종합'!$K$10, '종합'!$K$10*IF(L34="1-1",$AA$3,1))</f>
        <v>0.6300863529</v>
      </c>
      <c r="M42" s="257">
        <f>IF($B$23="약점", '종합'!$K$10, '종합'!$K$10*IF(M34="1-1",$AA$3,1))</f>
        <v>0.6300863529</v>
      </c>
      <c r="N42" s="257">
        <f>IF($B$23="약점", '종합'!$K$10, '종합'!$K$10*IF(N34="1-1",$AA$3,1))</f>
        <v>0.6300863529</v>
      </c>
      <c r="O42" s="257">
        <f>IF($B$23="약점", '종합'!$K$10, '종합'!$K$10*IF(O34="1-1",$AA$3,1))</f>
        <v>0.6300863529</v>
      </c>
      <c r="P42" s="257">
        <f>IF($B$23="약점", '종합'!$K$10, '종합'!$K$10*IF(P34="1-1",$AA$3,1))</f>
        <v>0.6300863529</v>
      </c>
      <c r="Q42" s="257">
        <f>IF($B$23="약점", '종합'!$K$10, '종합'!$K$10*IF(Q34="1-1",$AA$3,1))</f>
        <v>0.6300863529</v>
      </c>
      <c r="R42" s="257">
        <f>IF($B$23="약점", '종합'!$K$10, '종합'!$K$10*IF(R34="1-1",$AA$3,1))</f>
        <v>0.6300863529</v>
      </c>
      <c r="S42" s="257">
        <f>IF($B$23="약점", '종합'!$K$10, '종합'!$K$10*IF(S34="1-1",$AA$3,1))</f>
        <v>0.6300863529</v>
      </c>
      <c r="T42" s="257">
        <f>IF($B$23="약점", '종합'!$K$10, '종합'!$K$10*IF(T34="1-1",$AA$3,1))</f>
        <v>0.6300863529</v>
      </c>
      <c r="U42" s="257">
        <f>IF($B$23="약점", '종합'!$K$10, '종합'!$K$10*IF(U34="1-1",$AA$3,1))</f>
        <v>0.6300863529</v>
      </c>
      <c r="V42" s="257">
        <f>IF($B$23="약점", '종합'!$K$10, '종합'!$K$10*IF(V34="1-1",$AA$3,1))</f>
        <v>0.6300863529</v>
      </c>
      <c r="W42" s="257">
        <f>IF($B$23="약점", '종합'!$K$10, '종합'!$K$10*IF(W34="1-1",$AA$3,1))</f>
        <v>0.6300863529</v>
      </c>
      <c r="X42" s="257">
        <f>IF($B$23="약점", '종합'!$K$10, '종합'!$K$10*IF(X34="1-1",$AA$3,1))</f>
        <v>0.6300863529</v>
      </c>
      <c r="Y42" s="257">
        <f>IF($B$23="약점", '종합'!$K$10, '종합'!$K$10*IF(Y34="1-1",$AA$3,1))</f>
        <v>0.6300863529</v>
      </c>
      <c r="Z42" s="257">
        <f>IF($B$23="약점", '종합'!$K$10, '종합'!$K$10*IF(Z34="1-1",$AA$3,1))</f>
        <v>0.6300863529</v>
      </c>
      <c r="AA42" s="257">
        <f>IF($B$23="약점", '종합'!$K$10, '종합'!$K$10*IF(AA34="1-1",$AA$3,1))</f>
        <v>0.6300863529</v>
      </c>
      <c r="AB42" s="257">
        <f>IF($B$23="약점", '종합'!$K$10, '종합'!$K$10*IF(AB34="1-1",$AA$3,1))</f>
        <v>0.6300863529</v>
      </c>
      <c r="AC42" s="257">
        <f>IF($B$23="약점", '종합'!$K$10, '종합'!$K$10*IF(AC34="1-1",$AA$3,1))</f>
        <v>0.6300863529</v>
      </c>
      <c r="AD42" s="257">
        <f>IF($B$23="약점", '종합'!$K$10, '종합'!$K$10*IF(AD34="1-1",$AA$3,1))</f>
        <v>0.6300863529</v>
      </c>
      <c r="AE42" s="257">
        <f>IF($B$23="약점", '종합'!$K$10, '종합'!$K$10*IF(AE34="1-1",$AA$3,1))</f>
        <v>0.6300863529</v>
      </c>
      <c r="AF42" s="257">
        <f>IF($B$23="약점", '종합'!$K$10, '종합'!$K$10*IF(AF34="1-1",$AA$3,1))</f>
        <v>0.6300863529</v>
      </c>
      <c r="AG42" s="257">
        <f>IF($B$23="약점", '종합'!$K$10, '종합'!$K$10*IF(AG34="1-1",$AA$3,1))</f>
        <v>0.6300863529</v>
      </c>
      <c r="AH42" s="257">
        <f>IF($B$23="약점", '종합'!$K$10, '종합'!$K$10*IF(AH34="1-1",$AA$3,1))</f>
        <v>0.6300863529</v>
      </c>
      <c r="AI42" s="62"/>
      <c r="AJ42" s="62"/>
      <c r="AK42" s="62" t="s">
        <v>236</v>
      </c>
    </row>
    <row r="43">
      <c r="A43" s="1"/>
      <c r="B43" s="1"/>
      <c r="C43" s="254">
        <f t="shared" ref="C43:AH43" si="15">OFFSET(INDEX($24:$24, MATCH(C34, $24:$24, 0)), 2, 1)</f>
        <v>1.254176</v>
      </c>
      <c r="D43" s="254">
        <f t="shared" si="15"/>
        <v>1.164592</v>
      </c>
      <c r="E43" s="254">
        <f t="shared" si="15"/>
        <v>0.89584</v>
      </c>
      <c r="F43" s="254">
        <f t="shared" si="15"/>
        <v>1.164592</v>
      </c>
      <c r="G43" s="254">
        <f t="shared" si="15"/>
        <v>0.89584</v>
      </c>
      <c r="H43" s="254">
        <f t="shared" si="15"/>
        <v>0.761464</v>
      </c>
      <c r="I43" s="254">
        <f t="shared" si="15"/>
        <v>1.254176</v>
      </c>
      <c r="J43" s="254">
        <f t="shared" si="15"/>
        <v>1.164592</v>
      </c>
      <c r="K43" s="254">
        <f t="shared" si="15"/>
        <v>0.89584</v>
      </c>
      <c r="L43" s="254">
        <f t="shared" si="15"/>
        <v>1.164592</v>
      </c>
      <c r="M43" s="254">
        <f t="shared" si="15"/>
        <v>0</v>
      </c>
      <c r="N43" s="254">
        <f t="shared" si="15"/>
        <v>0</v>
      </c>
      <c r="O43" s="254">
        <f t="shared" si="15"/>
        <v>0</v>
      </c>
      <c r="P43" s="254">
        <f t="shared" si="15"/>
        <v>0</v>
      </c>
      <c r="Q43" s="254">
        <f t="shared" si="15"/>
        <v>0</v>
      </c>
      <c r="R43" s="254">
        <f t="shared" si="15"/>
        <v>0</v>
      </c>
      <c r="S43" s="254">
        <f t="shared" si="15"/>
        <v>0</v>
      </c>
      <c r="T43" s="254">
        <f t="shared" si="15"/>
        <v>0</v>
      </c>
      <c r="U43" s="254">
        <f t="shared" si="15"/>
        <v>0</v>
      </c>
      <c r="V43" s="254">
        <f t="shared" si="15"/>
        <v>0</v>
      </c>
      <c r="W43" s="254">
        <f t="shared" si="15"/>
        <v>0</v>
      </c>
      <c r="X43" s="254">
        <f t="shared" si="15"/>
        <v>0</v>
      </c>
      <c r="Y43" s="254">
        <f t="shared" si="15"/>
        <v>0</v>
      </c>
      <c r="Z43" s="254">
        <f t="shared" si="15"/>
        <v>0</v>
      </c>
      <c r="AA43" s="254">
        <f t="shared" si="15"/>
        <v>0</v>
      </c>
      <c r="AB43" s="254">
        <f t="shared" si="15"/>
        <v>0</v>
      </c>
      <c r="AC43" s="254">
        <f t="shared" si="15"/>
        <v>0</v>
      </c>
      <c r="AD43" s="254">
        <f t="shared" si="15"/>
        <v>0</v>
      </c>
      <c r="AE43" s="254">
        <f t="shared" si="15"/>
        <v>0</v>
      </c>
      <c r="AF43" s="254">
        <f t="shared" si="15"/>
        <v>0</v>
      </c>
      <c r="AG43" s="254">
        <f t="shared" si="15"/>
        <v>0</v>
      </c>
      <c r="AH43" s="254">
        <f t="shared" si="15"/>
        <v>0</v>
      </c>
      <c r="AI43" s="62"/>
      <c r="AJ43" s="258">
        <f>SUM(OFFSET(A43, 0, C32, 1, C32))</f>
        <v>6.136504</v>
      </c>
      <c r="AK43" s="62" t="s">
        <v>475</v>
      </c>
    </row>
    <row r="44">
      <c r="A44" s="1"/>
      <c r="B44" s="1"/>
      <c r="C44" s="151">
        <f t="shared" ref="C44:AH44" si="16">OFFSET(INDEX($24:$24, MATCH(C34, $24:$24, 0)), 4, 1)</f>
        <v>12.6344</v>
      </c>
      <c r="D44" s="1" t="str">
        <f t="shared" si="16"/>
        <v/>
      </c>
      <c r="E44" s="151">
        <f t="shared" si="16"/>
        <v>13.935</v>
      </c>
      <c r="F44" s="1" t="str">
        <f t="shared" si="16"/>
        <v/>
      </c>
      <c r="G44" s="151">
        <f t="shared" si="16"/>
        <v>13.006</v>
      </c>
      <c r="H44" s="151">
        <f t="shared" si="16"/>
        <v>9.5</v>
      </c>
      <c r="I44" s="1">
        <f t="shared" si="16"/>
        <v>12.6344</v>
      </c>
      <c r="J44" s="1" t="str">
        <f t="shared" si="16"/>
        <v/>
      </c>
      <c r="K44" s="151">
        <f t="shared" si="16"/>
        <v>13.935</v>
      </c>
      <c r="L44" s="151" t="str">
        <f t="shared" si="16"/>
        <v/>
      </c>
      <c r="M44" s="151" t="str">
        <f t="shared" si="16"/>
        <v/>
      </c>
      <c r="N44" s="1" t="str">
        <f t="shared" si="16"/>
        <v/>
      </c>
      <c r="O44" s="151" t="str">
        <f t="shared" si="16"/>
        <v/>
      </c>
      <c r="P44" s="1" t="str">
        <f t="shared" si="16"/>
        <v/>
      </c>
      <c r="Q44" s="151" t="str">
        <f t="shared" si="16"/>
        <v/>
      </c>
      <c r="R44" s="151" t="str">
        <f t="shared" si="16"/>
        <v/>
      </c>
      <c r="S44" s="1" t="str">
        <f t="shared" si="16"/>
        <v/>
      </c>
      <c r="T44" s="1" t="str">
        <f t="shared" si="16"/>
        <v/>
      </c>
      <c r="U44" s="1" t="str">
        <f t="shared" si="16"/>
        <v/>
      </c>
      <c r="V44" s="1" t="str">
        <f t="shared" si="16"/>
        <v/>
      </c>
      <c r="W44" s="1" t="str">
        <f t="shared" si="16"/>
        <v/>
      </c>
      <c r="X44" s="1" t="str">
        <f t="shared" si="16"/>
        <v/>
      </c>
      <c r="Y44" s="1" t="str">
        <f t="shared" si="16"/>
        <v/>
      </c>
      <c r="Z44" s="1" t="str">
        <f t="shared" si="16"/>
        <v/>
      </c>
      <c r="AA44" s="1" t="str">
        <f t="shared" si="16"/>
        <v/>
      </c>
      <c r="AB44" s="1" t="str">
        <f t="shared" si="16"/>
        <v/>
      </c>
      <c r="AC44" s="1" t="str">
        <f t="shared" si="16"/>
        <v/>
      </c>
      <c r="AD44" s="1" t="str">
        <f t="shared" si="16"/>
        <v/>
      </c>
      <c r="AE44" s="1" t="str">
        <f t="shared" si="16"/>
        <v/>
      </c>
      <c r="AF44" s="1" t="str">
        <f t="shared" si="16"/>
        <v/>
      </c>
      <c r="AG44" s="1" t="str">
        <f t="shared" si="16"/>
        <v/>
      </c>
      <c r="AH44" s="1" t="str">
        <f t="shared" si="16"/>
        <v/>
      </c>
      <c r="AI44" s="62"/>
      <c r="AJ44" s="258">
        <f>max(OFFSET(A44, 0, C32, 1, C32))-IF('방어구룬'!B$52=TRUE, 2.1*C32/'방어구룬'!$C$52, 0)</f>
        <v>13.935</v>
      </c>
      <c r="AK44" s="62" t="s">
        <v>458</v>
      </c>
    </row>
    <row r="45">
      <c r="A45" s="25" t="s">
        <v>476</v>
      </c>
      <c r="B45" s="1"/>
      <c r="C45" s="257">
        <f>(sum(C38:C40)+'종합'!$K$7+'종합'!$K$15+'종합'!$C$8/100+IF(AND('방어구룬'!$B$39=TRUE, OR(C34="2-1", C34="4-1", C34="4-3")), 0.24, "")+IF(AND('엠블럼룬'!$B$8=TRUE, $B$23&lt;&gt;"약점", C34="1-1"), 0.14, ""))</f>
        <v>1.405529412</v>
      </c>
      <c r="D45" s="257">
        <f>(sum(D38:D40)+'종합'!$K$7+'종합'!$K$15+'종합'!$C$8/100+IF(AND('방어구룬'!$B$39=TRUE, OR(D34="2-1", D34="4-1", D34="4-3")), 0.24, "")+IF(AND('엠블럼룬'!$B$8=TRUE, $B$23&lt;&gt;"약점", D34="1-1"), 0.14, ""))</f>
        <v>0.4055294118</v>
      </c>
      <c r="E45" s="257">
        <f>(sum(E38:E40)+'종합'!$K$7+'종합'!$K$15+'종합'!$C$8/100+IF(AND('방어구룬'!$B$39=TRUE, OR(E34="2-1", E34="4-1", E34="4-3")), 0.24, "")+IF(AND('엠블럼룬'!$B$8=TRUE, $B$23&lt;&gt;"약점", E34="1-1"), 0.14, ""))</f>
        <v>0.4055294118</v>
      </c>
      <c r="F45" s="257">
        <f>(sum(F38:F40)+'종합'!$K$7+'종합'!$K$15+'종합'!$C$8/100+IF(AND('방어구룬'!$B$39=TRUE, OR(F34="2-1", F34="4-1", F34="4-3")), 0.24, "")+IF(AND('엠블럼룬'!$B$8=TRUE, $B$23&lt;&gt;"약점", F34="1-1"), 0.14, ""))</f>
        <v>0.4055294118</v>
      </c>
      <c r="G45" s="257">
        <f>(sum(G38:G40)+'종합'!$K$7+'종합'!$K$15+'종합'!$C$8/100+IF(AND('방어구룬'!$B$39=TRUE, OR(G34="2-1", G34="4-1", G34="4-3")), 0.24, "")+IF(AND('엠블럼룬'!$B$8=TRUE, $B$23&lt;&gt;"약점", G34="1-1"), 0.14, ""))</f>
        <v>0.4055294118</v>
      </c>
      <c r="H45" s="257">
        <f>(sum(H38:H40)+'종합'!$K$7+'종합'!$K$15+'종합'!$C$8/100+IF(AND('방어구룬'!$B$39=TRUE, OR(H34="2-1", H34="4-1", H34="4-3")), 0.24, "")+IF(AND('엠블럼룬'!$B$8=TRUE, $B$23&lt;&gt;"약점", H34="1-1"), 0.14, ""))</f>
        <v>0.2555294118</v>
      </c>
      <c r="I45" s="257">
        <f>(sum(I38:I40)+'종합'!$K$7+'종합'!$K$15+'종합'!$C$8/100+IF(AND('방어구룬'!$B$39=TRUE, OR(I34="2-1", I34="4-1", I34="4-3")), 0.24, "")+IF(AND('엠블럼룬'!$B$8=TRUE, $B$23&lt;&gt;"약점", I34="1-1"), 0.14, ""))</f>
        <v>1.405529412</v>
      </c>
      <c r="J45" s="257">
        <f>(sum(J38:J40)+'종합'!$K$7+'종합'!$K$15+'종합'!$C$8/100+IF(AND('방어구룬'!$B$39=TRUE, OR(J34="2-1", J34="4-1", J34="4-3")), 0.24, "")+IF(AND('엠블럼룬'!$B$8=TRUE, $B$23&lt;&gt;"약점", J34="1-1"), 0.14, ""))</f>
        <v>0.4055294118</v>
      </c>
      <c r="K45" s="257">
        <f>(sum(K38:K40)+'종합'!$K$7+'종합'!$K$15+'종합'!$C$8/100+IF(AND('방어구룬'!$B$39=TRUE, OR(K34="2-1", K34="4-1", K34="4-3")), 0.24, "")+IF(AND('엠블럼룬'!$B$8=TRUE, $B$23&lt;&gt;"약점", K34="1-1"), 0.14, ""))</f>
        <v>0.4055294118</v>
      </c>
      <c r="L45" s="257">
        <f>(sum(L38:L40)+'종합'!$K$7+'종합'!$K$15+'종합'!$C$8/100+IF(AND('방어구룬'!$B$39=TRUE, OR(L34="2-1", L34="4-1", L34="4-3")), 0.24, "")+IF(AND('엠블럼룬'!$B$8=TRUE, $B$23&lt;&gt;"약점", L34="1-1"), 0.14, ""))</f>
        <v>0.4055294118</v>
      </c>
      <c r="M45" s="257">
        <f>(sum(M38:M40)+'종합'!$K$7+'종합'!$K$15+'종합'!$C$8/100+IF(AND('방어구룬'!$B$39=TRUE, OR(M34="2-1", M34="4-1", M34="4-3")), 0.24, "")+IF(AND('엠블럼룬'!$B$8=TRUE, $B$23&lt;&gt;"약점", M34="1-1"), 0.14, ""))</f>
        <v>0.4055294118</v>
      </c>
      <c r="N45" s="257">
        <f>(sum(N38:N40)+'종합'!$K$7+'종합'!$K$15+'종합'!$C$8/100+IF(AND('방어구룬'!$B$39=TRUE, OR(N34="2-1", N34="4-1", N34="4-3")), 0.24, "")+IF(AND('엠블럼룬'!$B$8=TRUE, $B$23&lt;&gt;"약점", N34="1-1"), 0.14, ""))</f>
        <v>0.4055294118</v>
      </c>
      <c r="O45" s="257">
        <f>(sum(O38:O40)+'종합'!$K$7+'종합'!$K$15+'종합'!$C$8/100+IF(AND('방어구룬'!$B$39=TRUE, OR(O34="2-1", O34="4-1", O34="4-3")), 0.24, "")+IF(AND('엠블럼룬'!$B$8=TRUE, $B$23&lt;&gt;"약점", O34="1-1"), 0.14, ""))</f>
        <v>0.4055294118</v>
      </c>
      <c r="P45" s="257">
        <f>(sum(P38:P40)+'종합'!$K$7+'종합'!$K$15+'종합'!$C$8/100+IF(AND('방어구룬'!$B$39=TRUE, OR(P34="2-1", P34="4-1", P34="4-3")), 0.24, "")+IF(AND('엠블럼룬'!$B$8=TRUE, $B$23&lt;&gt;"약점", P34="1-1"), 0.14, ""))</f>
        <v>0.4055294118</v>
      </c>
      <c r="Q45" s="257">
        <f>(sum(Q38:Q40)+'종합'!$K$7+'종합'!$K$15+'종합'!$C$8/100+IF(AND('방어구룬'!$B$39=TRUE, OR(Q34="2-1", Q34="4-1", Q34="4-3")), 0.24, "")+IF(AND('엠블럼룬'!$B$8=TRUE, $B$23&lt;&gt;"약점", Q34="1-1"), 0.14, ""))</f>
        <v>0.4055294118</v>
      </c>
      <c r="R45" s="257">
        <f>(sum(R38:R40)+'종합'!$K$7+'종합'!$K$15+'종합'!$C$8/100+IF(AND('방어구룬'!$B$39=TRUE, OR(R34="2-1", R34="4-1", R34="4-3")), 0.24, "")+IF(AND('엠블럼룬'!$B$8=TRUE, $B$23&lt;&gt;"약점", R34="1-1"), 0.14, ""))</f>
        <v>0.4055294118</v>
      </c>
      <c r="S45" s="257">
        <f>(sum(S38:S40)+'종합'!$K$7+'종합'!$K$15+'종합'!$C$8/100+IF(AND('방어구룬'!$B$39=TRUE, OR(S34="2-1", S34="4-1", S34="4-3")), 0.24, "")+IF(AND('엠블럼룬'!$B$8=TRUE, $B$23&lt;&gt;"약점", S34="1-1"), 0.14, ""))</f>
        <v>0.4055294118</v>
      </c>
      <c r="T45" s="257">
        <f>(sum(T38:T40)+'종합'!$K$7+'종합'!$K$15+'종합'!$C$8/100+IF(AND('방어구룬'!$B$39=TRUE, OR(T34="2-1", T34="4-1", T34="4-3")), 0.24, "")+IF(AND('엠블럼룬'!$B$8=TRUE, $B$23&lt;&gt;"약점", T34="1-1"), 0.14, ""))</f>
        <v>0.4055294118</v>
      </c>
      <c r="U45" s="257">
        <f>(sum(U38:U40)+'종합'!$K$7+'종합'!$K$15+'종합'!$C$8/100+IF(AND('방어구룬'!$B$39=TRUE, OR(U34="2-1", U34="4-1", U34="4-3")), 0.24, "")+IF(AND('엠블럼룬'!$B$8=TRUE, $B$23&lt;&gt;"약점", U34="1-1"), 0.14, ""))</f>
        <v>0.4055294118</v>
      </c>
      <c r="V45" s="257">
        <f>(sum(V38:V40)+'종합'!$K$7+'종합'!$K$15+'종합'!$C$8/100+IF(AND('방어구룬'!$B$39=TRUE, OR(V34="2-1", V34="4-1", V34="4-3")), 0.24, "")+IF(AND('엠블럼룬'!$B$8=TRUE, $B$23&lt;&gt;"약점", V34="1-1"), 0.14, ""))</f>
        <v>0.4055294118</v>
      </c>
      <c r="W45" s="257">
        <f>(sum(W38:W40)+'종합'!$K$7+'종합'!$K$15+'종합'!$C$8/100+IF(AND('방어구룬'!$B$39=TRUE, OR(W34="2-1", W34="4-1", W34="4-3")), 0.24, "")+IF(AND('엠블럼룬'!$B$8=TRUE, $B$23&lt;&gt;"약점", W34="1-1"), 0.14, ""))</f>
        <v>0.4055294118</v>
      </c>
      <c r="X45" s="257">
        <f>(sum(X38:X40)+'종합'!$K$7+'종합'!$K$15+'종합'!$C$8/100+IF(AND('방어구룬'!$B$39=TRUE, OR(X34="2-1", X34="4-1", X34="4-3")), 0.24, "")+IF(AND('엠블럼룬'!$B$8=TRUE, $B$23&lt;&gt;"약점", X34="1-1"), 0.14, ""))</f>
        <v>0.4055294118</v>
      </c>
      <c r="Y45" s="257">
        <f>(sum(Y38:Y40)+'종합'!$K$7+'종합'!$K$15+'종합'!$C$8/100+IF(AND('방어구룬'!$B$39=TRUE, OR(Y34="2-1", Y34="4-1", Y34="4-3")), 0.24, "")+IF(AND('엠블럼룬'!$B$8=TRUE, $B$23&lt;&gt;"약점", Y34="1-1"), 0.14, ""))</f>
        <v>0.4055294118</v>
      </c>
      <c r="Z45" s="257">
        <f>(sum(Z38:Z40)+'종합'!$K$7+'종합'!$K$15+'종합'!$C$8/100+IF(AND('방어구룬'!$B$39=TRUE, OR(Z34="2-1", Z34="4-1", Z34="4-3")), 0.24, "")+IF(AND('엠블럼룬'!$B$8=TRUE, $B$23&lt;&gt;"약점", Z34="1-1"), 0.14, ""))</f>
        <v>0.4055294118</v>
      </c>
      <c r="AA45" s="257">
        <f>(sum(AA38:AA40)+'종합'!$K$7+'종합'!$K$15+'종합'!$C$8/100+IF(AND('방어구룬'!$B$39=TRUE, OR(AA34="2-1", AA34="4-1", AA34="4-3")), 0.24, "")+IF(AND('엠블럼룬'!$B$8=TRUE, $B$23&lt;&gt;"약점", AA34="1-1"), 0.14, ""))</f>
        <v>0.4055294118</v>
      </c>
      <c r="AB45" s="257">
        <f>(sum(AB38:AB40)+'종합'!$K$7+'종합'!$K$15+'종합'!$C$8/100+IF(AND('방어구룬'!$B$39=TRUE, OR(AB34="2-1", AB34="4-1", AB34="4-3")), 0.24, "")+IF(AND('엠블럼룬'!$B$8=TRUE, $B$23&lt;&gt;"약점", AB34="1-1"), 0.14, ""))</f>
        <v>0.4055294118</v>
      </c>
      <c r="AC45" s="257">
        <f>(sum(AC38:AC40)+'종합'!$K$7+'종합'!$K$15+'종합'!$C$8/100+IF(AND('방어구룬'!$B$39=TRUE, OR(AC34="2-1", AC34="4-1", AC34="4-3")), 0.24, "")+IF(AND('엠블럼룬'!$B$8=TRUE, $B$23&lt;&gt;"약점", AC34="1-1"), 0.14, ""))</f>
        <v>0.4055294118</v>
      </c>
      <c r="AD45" s="257">
        <f>(sum(AD38:AD40)+'종합'!$K$7+'종합'!$K$15+'종합'!$C$8/100+IF(AND('방어구룬'!$B$39=TRUE, OR(AD34="2-1", AD34="4-1", AD34="4-3")), 0.24, "")+IF(AND('엠블럼룬'!$B$8=TRUE, $B$23&lt;&gt;"약점", AD34="1-1"), 0.14, ""))</f>
        <v>0.4055294118</v>
      </c>
      <c r="AE45" s="257">
        <f>(sum(AE38:AE40)+'종합'!$K$7+'종합'!$K$15+'종합'!$C$8/100+IF(AND('방어구룬'!$B$39=TRUE, OR(AE34="2-1", AE34="4-1", AE34="4-3")), 0.24, "")+IF(AND('엠블럼룬'!$B$8=TRUE, $B$23&lt;&gt;"약점", AE34="1-1"), 0.14, ""))</f>
        <v>0.4055294118</v>
      </c>
      <c r="AF45" s="257">
        <f>(sum(AF38:AF40)+'종합'!$K$7+'종합'!$K$15+'종합'!$C$8/100+IF(AND('방어구룬'!$B$39=TRUE, OR(AF34="2-1", AF34="4-1", AF34="4-3")), 0.24, "")+IF(AND('엠블럼룬'!$B$8=TRUE, $B$23&lt;&gt;"약점", AF34="1-1"), 0.14, ""))</f>
        <v>0.4055294118</v>
      </c>
      <c r="AG45" s="257">
        <f>(sum(AG38:AG40)+'종합'!$K$7+'종합'!$K$15+'종합'!$C$8/100+IF(AND('방어구룬'!$B$39=TRUE, OR(AG34="2-1", AG34="4-1", AG34="4-3")), 0.24, "")+IF(AND('엠블럼룬'!$B$8=TRUE, $B$23&lt;&gt;"약점", AG34="1-1"), 0.14, ""))</f>
        <v>0.4055294118</v>
      </c>
      <c r="AH45" s="257">
        <f>(sum(AH38:AH40)+'종합'!$K$7+'종합'!$K$15+'종합'!$C$8/100+IF(AND('방어구룬'!$B$39=TRUE, OR(AH34="2-1", AH34="4-1", AH34="4-3")), 0.24, "")+IF(AND('엠블럼룬'!$B$8=TRUE, $B$23&lt;&gt;"약점", AH34="1-1"), 0.14, ""))</f>
        <v>0.4055294118</v>
      </c>
      <c r="AI45" s="62"/>
      <c r="AJ45" s="258">
        <f>IF(AJ44-AJ43 &lt; 0, 0, AJ44-AJ43)</f>
        <v>7.798496</v>
      </c>
      <c r="AK45" s="62" t="s">
        <v>477</v>
      </c>
    </row>
    <row r="46">
      <c r="A46" s="25" t="s">
        <v>478</v>
      </c>
      <c r="B46" s="1"/>
      <c r="C46" s="257">
        <f>C41+C42+'종합'!$K$13</f>
        <v>1.073070019</v>
      </c>
      <c r="D46" s="257">
        <f>D41+D42+'종합'!$K$13</f>
        <v>1.073070019</v>
      </c>
      <c r="E46" s="257">
        <f>E41+E42+'종합'!$K$13</f>
        <v>1.073070019</v>
      </c>
      <c r="F46" s="257">
        <f>F41+F42+'종합'!$K$13</f>
        <v>1.073070019</v>
      </c>
      <c r="G46" s="257">
        <f>G41+G42+'종합'!$K$13</f>
        <v>1.073070019</v>
      </c>
      <c r="H46" s="257">
        <f>H41+H42+'종합'!$K$13</f>
        <v>1.073070019</v>
      </c>
      <c r="I46" s="257">
        <f>I41+I42+'종합'!$K$13</f>
        <v>1.073070019</v>
      </c>
      <c r="J46" s="257">
        <f>J41+J42+'종합'!$K$13</f>
        <v>1.073070019</v>
      </c>
      <c r="K46" s="257">
        <f>K41+K42+'종합'!$K$13</f>
        <v>1.073070019</v>
      </c>
      <c r="L46" s="257">
        <f>L41+L42+'종합'!$K$13</f>
        <v>1.073070019</v>
      </c>
      <c r="M46" s="257">
        <f>M41+M42+'종합'!$K$13</f>
        <v>1.073070019</v>
      </c>
      <c r="N46" s="257">
        <f>N41+N42+'종합'!$K$13</f>
        <v>1.073070019</v>
      </c>
      <c r="O46" s="257">
        <f>O41+O42+'종합'!$K$13</f>
        <v>1.073070019</v>
      </c>
      <c r="P46" s="257">
        <f>P41+P42+'종합'!$K$13</f>
        <v>1.073070019</v>
      </c>
      <c r="Q46" s="257">
        <f>Q41+Q42+'종합'!$K$13</f>
        <v>1.073070019</v>
      </c>
      <c r="R46" s="257">
        <f>R41+R42+'종합'!$K$13</f>
        <v>1.073070019</v>
      </c>
      <c r="S46" s="257">
        <f>S41+S42+'종합'!$K$13</f>
        <v>1.073070019</v>
      </c>
      <c r="T46" s="257">
        <f>T41+T42+'종합'!$K$13</f>
        <v>1.073070019</v>
      </c>
      <c r="U46" s="257">
        <f>U41+U42+'종합'!$K$13</f>
        <v>1.073070019</v>
      </c>
      <c r="V46" s="257">
        <f>V41+V42+'종합'!$K$13</f>
        <v>1.073070019</v>
      </c>
      <c r="W46" s="257">
        <f>W41+W42+'종합'!$K$13</f>
        <v>1.073070019</v>
      </c>
      <c r="X46" s="257">
        <f>X41+X42+'종합'!$K$13</f>
        <v>1.073070019</v>
      </c>
      <c r="Y46" s="257">
        <f>Y41+Y42+'종합'!$K$13</f>
        <v>1.073070019</v>
      </c>
      <c r="Z46" s="257">
        <f>Z41+Z42+'종합'!$K$13</f>
        <v>1.073070019</v>
      </c>
      <c r="AA46" s="257">
        <f>AA41+AA42+'종합'!$K$13</f>
        <v>1.073070019</v>
      </c>
      <c r="AB46" s="257">
        <f>AB41+AB42+'종합'!$K$13</f>
        <v>1.073070019</v>
      </c>
      <c r="AC46" s="257">
        <f>AC41+AC42+'종합'!$K$13</f>
        <v>1.073070019</v>
      </c>
      <c r="AD46" s="257">
        <f>AD41+AD42+'종합'!$K$13</f>
        <v>1.073070019</v>
      </c>
      <c r="AE46" s="257">
        <f>AE41+AE42+'종합'!$K$13</f>
        <v>1.073070019</v>
      </c>
      <c r="AF46" s="257">
        <f>AF41+AF42+'종합'!$K$13</f>
        <v>1.073070019</v>
      </c>
      <c r="AG46" s="257">
        <f>AG41+AG42+'종합'!$K$13</f>
        <v>1.073070019</v>
      </c>
      <c r="AH46" s="257">
        <f>AH41+AH42+'종합'!$K$13</f>
        <v>1.073070019</v>
      </c>
      <c r="AI46" s="62"/>
      <c r="AJ46" s="258">
        <f>0.8*(1-'종합'!I$22)</f>
        <v>0.716896</v>
      </c>
      <c r="AK46" s="62" t="s">
        <v>479</v>
      </c>
    </row>
    <row r="47">
      <c r="A47" s="25" t="s">
        <v>480</v>
      </c>
      <c r="B47" s="1"/>
      <c r="C47" s="257">
        <f>1-'종합'!$K$17+'종합'!$K$12*'종합'!$K$17</f>
        <v>2.472480923</v>
      </c>
      <c r="D47" s="257">
        <f>1-'종합'!$K$17+'종합'!$K$12*'종합'!$K$17</f>
        <v>2.472480923</v>
      </c>
      <c r="E47" s="257">
        <f>1-'종합'!$K$17+'종합'!$K$12*'종합'!$K$17</f>
        <v>2.472480923</v>
      </c>
      <c r="F47" s="257">
        <f>1-'종합'!$K$17+'종합'!$K$12*'종합'!$K$17</f>
        <v>2.472480923</v>
      </c>
      <c r="G47" s="257">
        <f>1-'종합'!$K$17+'종합'!$K$12*'종합'!$K$17</f>
        <v>2.472480923</v>
      </c>
      <c r="H47" s="257">
        <f>1-'종합'!$K$17+'종합'!$K$12*'종합'!$K$17</f>
        <v>2.472480923</v>
      </c>
      <c r="I47" s="257">
        <f>1-'종합'!$K$17+'종합'!$K$12*'종합'!$K$17</f>
        <v>2.472480923</v>
      </c>
      <c r="J47" s="257">
        <f>1-'종합'!$K$17+'종합'!$K$12*'종합'!$K$17</f>
        <v>2.472480923</v>
      </c>
      <c r="K47" s="257">
        <f>1-'종합'!$K$17+'종합'!$K$12*'종합'!$K$17</f>
        <v>2.472480923</v>
      </c>
      <c r="L47" s="257">
        <f>1-'종합'!$K$17+'종합'!$K$12*'종합'!$K$17</f>
        <v>2.472480923</v>
      </c>
      <c r="M47" s="257">
        <f>1-'종합'!$K$17+'종합'!$K$12*'종합'!$K$17</f>
        <v>2.472480923</v>
      </c>
      <c r="N47" s="257">
        <f>1-'종합'!$K$17+'종합'!$K$12*'종합'!$K$17</f>
        <v>2.472480923</v>
      </c>
      <c r="O47" s="257">
        <f>1-'종합'!$K$17+'종합'!$K$12*'종합'!$K$17</f>
        <v>2.472480923</v>
      </c>
      <c r="P47" s="257">
        <f>1-'종합'!$K$17+'종합'!$K$12*'종합'!$K$17</f>
        <v>2.472480923</v>
      </c>
      <c r="Q47" s="257">
        <f>1-'종합'!$K$17+'종합'!$K$12*'종합'!$K$17</f>
        <v>2.472480923</v>
      </c>
      <c r="R47" s="257">
        <f>1-'종합'!$K$17+'종합'!$K$12*'종합'!$K$17</f>
        <v>2.472480923</v>
      </c>
      <c r="S47" s="257">
        <f>1-'종합'!$K$17+'종합'!$K$12*'종합'!$K$17</f>
        <v>2.472480923</v>
      </c>
      <c r="T47" s="257">
        <f>1-'종합'!$K$17+'종합'!$K$12*'종합'!$K$17</f>
        <v>2.472480923</v>
      </c>
      <c r="U47" s="257">
        <f>1-'종합'!$K$17+'종합'!$K$12*'종합'!$K$17</f>
        <v>2.472480923</v>
      </c>
      <c r="V47" s="257">
        <f>1-'종합'!$K$17+'종합'!$K$12*'종합'!$K$17</f>
        <v>2.472480923</v>
      </c>
      <c r="W47" s="257">
        <f>1-'종합'!$K$17+'종합'!$K$12*'종합'!$K$17</f>
        <v>2.472480923</v>
      </c>
      <c r="X47" s="257">
        <f>1-'종합'!$K$17+'종합'!$K$12*'종합'!$K$17</f>
        <v>2.472480923</v>
      </c>
      <c r="Y47" s="257">
        <f>1-'종합'!$K$17+'종합'!$K$12*'종합'!$K$17</f>
        <v>2.472480923</v>
      </c>
      <c r="Z47" s="257">
        <f>1-'종합'!$K$17+'종합'!$K$12*'종합'!$K$17</f>
        <v>2.472480923</v>
      </c>
      <c r="AA47" s="257">
        <f>1-'종합'!$K$17+'종합'!$K$12*'종합'!$K$17</f>
        <v>2.472480923</v>
      </c>
      <c r="AB47" s="257">
        <f>1-'종합'!$K$17+'종합'!$K$12*'종합'!$K$17</f>
        <v>2.472480923</v>
      </c>
      <c r="AC47" s="257">
        <f>1-'종합'!$K$17+'종합'!$K$12*'종합'!$K$17</f>
        <v>2.472480923</v>
      </c>
      <c r="AD47" s="257">
        <f>1-'종합'!$K$17+'종합'!$K$12*'종합'!$K$17</f>
        <v>2.472480923</v>
      </c>
      <c r="AE47" s="257">
        <f>1-'종합'!$K$17+'종합'!$K$12*'종합'!$K$17</f>
        <v>2.472480923</v>
      </c>
      <c r="AF47" s="257">
        <f>1-'종합'!$K$17+'종합'!$K$12*'종합'!$K$17</f>
        <v>2.472480923</v>
      </c>
      <c r="AG47" s="257">
        <f>1-'종합'!$K$17+'종합'!$K$12*'종합'!$K$17</f>
        <v>2.472480923</v>
      </c>
      <c r="AH47" s="257">
        <f>1-'종합'!$K$17+'종합'!$K$12*'종합'!$K$17</f>
        <v>2.472480923</v>
      </c>
      <c r="AI47" s="62"/>
      <c r="AJ47" s="258">
        <f>'헬퍼테이블'!E2</f>
        <v>4</v>
      </c>
      <c r="AK47" s="62" t="s">
        <v>481</v>
      </c>
    </row>
    <row r="48">
      <c r="A48" s="25" t="s">
        <v>482</v>
      </c>
      <c r="B48" s="1"/>
      <c r="C48" s="257">
        <f>1-'종합'!$K$16+'종합'!$K$11*'종합'!$K$16</f>
        <v>1.313522756</v>
      </c>
      <c r="D48" s="257">
        <f>1-'종합'!$K$16+'종합'!$K$11*'종합'!$K$16</f>
        <v>1.313522756</v>
      </c>
      <c r="E48" s="257">
        <f>1-'종합'!$K$16+'종합'!$K$11*'종합'!$K$16</f>
        <v>1.313522756</v>
      </c>
      <c r="F48" s="257">
        <f>1-'종합'!$K$16+'종합'!$K$11*'종합'!$K$16</f>
        <v>1.313522756</v>
      </c>
      <c r="G48" s="257">
        <f>1-'종합'!$K$16+'종합'!$K$11*'종합'!$K$16</f>
        <v>1.313522756</v>
      </c>
      <c r="H48" s="257">
        <f>1-'종합'!$K$16+'종합'!$K$11*'종합'!$K$16</f>
        <v>1.313522756</v>
      </c>
      <c r="I48" s="257">
        <f>1-'종합'!$K$16+'종합'!$K$11*'종합'!$K$16</f>
        <v>1.313522756</v>
      </c>
      <c r="J48" s="257">
        <f>1-'종합'!$K$16+'종합'!$K$11*'종합'!$K$16</f>
        <v>1.313522756</v>
      </c>
      <c r="K48" s="257">
        <f>1-'종합'!$K$16+'종합'!$K$11*'종합'!$K$16</f>
        <v>1.313522756</v>
      </c>
      <c r="L48" s="257">
        <f>1-'종합'!$K$16+'종합'!$K$11*'종합'!$K$16</f>
        <v>1.313522756</v>
      </c>
      <c r="M48" s="257">
        <f>1-'종합'!$K$16+'종합'!$K$11*'종합'!$K$16</f>
        <v>1.313522756</v>
      </c>
      <c r="N48" s="257">
        <f>1-'종합'!$K$16+'종합'!$K$11*'종합'!$K$16</f>
        <v>1.313522756</v>
      </c>
      <c r="O48" s="257">
        <f>1-'종합'!$K$16+'종합'!$K$11*'종합'!$K$16</f>
        <v>1.313522756</v>
      </c>
      <c r="P48" s="257">
        <f>1-'종합'!$K$16+'종합'!$K$11*'종합'!$K$16</f>
        <v>1.313522756</v>
      </c>
      <c r="Q48" s="257">
        <f>1-'종합'!$K$16+'종합'!$K$11*'종합'!$K$16</f>
        <v>1.313522756</v>
      </c>
      <c r="R48" s="257">
        <f>1-'종합'!$K$16+'종합'!$K$11*'종합'!$K$16</f>
        <v>1.313522756</v>
      </c>
      <c r="S48" s="257">
        <f>1-'종합'!$K$16+'종합'!$K$11*'종합'!$K$16</f>
        <v>1.313522756</v>
      </c>
      <c r="T48" s="257">
        <f>1-'종합'!$K$16+'종합'!$K$11*'종합'!$K$16</f>
        <v>1.313522756</v>
      </c>
      <c r="U48" s="257">
        <f>1-'종합'!$K$16+'종합'!$K$11*'종합'!$K$16</f>
        <v>1.313522756</v>
      </c>
      <c r="V48" s="257">
        <f>1-'종합'!$K$16+'종합'!$K$11*'종합'!$K$16</f>
        <v>1.313522756</v>
      </c>
      <c r="W48" s="257">
        <f>1-'종합'!$K$16+'종합'!$K$11*'종합'!$K$16</f>
        <v>1.313522756</v>
      </c>
      <c r="X48" s="257">
        <f>1-'종합'!$K$16+'종합'!$K$11*'종합'!$K$16</f>
        <v>1.313522756</v>
      </c>
      <c r="Y48" s="257">
        <f>1-'종합'!$K$16+'종합'!$K$11*'종합'!$K$16</f>
        <v>1.313522756</v>
      </c>
      <c r="Z48" s="257">
        <f>1-'종합'!$K$16+'종합'!$K$11*'종합'!$K$16</f>
        <v>1.313522756</v>
      </c>
      <c r="AA48" s="257">
        <f>1-'종합'!$K$16+'종합'!$K$11*'종합'!$K$16</f>
        <v>1.313522756</v>
      </c>
      <c r="AB48" s="257">
        <f>1-'종합'!$K$16+'종합'!$K$11*'종합'!$K$16</f>
        <v>1.313522756</v>
      </c>
      <c r="AC48" s="257">
        <f>1-'종합'!$K$16+'종합'!$K$11*'종합'!$K$16</f>
        <v>1.313522756</v>
      </c>
      <c r="AD48" s="257">
        <f>1-'종합'!$K$16+'종합'!$K$11*'종합'!$K$16</f>
        <v>1.313522756</v>
      </c>
      <c r="AE48" s="257">
        <f>1-'종합'!$K$16+'종합'!$K$11*'종합'!$K$16</f>
        <v>1.313522756</v>
      </c>
      <c r="AF48" s="257">
        <f>1-'종합'!$K$16+'종합'!$K$11*'종합'!$K$16</f>
        <v>1.313522756</v>
      </c>
      <c r="AG48" s="257">
        <f>1-'종합'!$K$16+'종합'!$K$11*'종합'!$K$16</f>
        <v>1.313522756</v>
      </c>
      <c r="AH48" s="257">
        <f>1-'종합'!$K$16+'종합'!$K$11*'종합'!$K$16</f>
        <v>1.313522756</v>
      </c>
      <c r="AI48" s="62"/>
      <c r="AJ48" s="62"/>
      <c r="AK48" s="62"/>
    </row>
    <row r="49">
      <c r="A49" s="1" t="s">
        <v>483</v>
      </c>
      <c r="B49" s="1"/>
      <c r="C49" s="151">
        <f t="shared" ref="C49:AH49" si="17">C35*(1+C45)*(1+C46)*C47*C48</f>
        <v>101.5890597</v>
      </c>
      <c r="D49" s="151">
        <f t="shared" si="17"/>
        <v>19.29580866</v>
      </c>
      <c r="E49" s="151">
        <f t="shared" si="17"/>
        <v>22.90010031</v>
      </c>
      <c r="F49" s="151">
        <f t="shared" si="17"/>
        <v>19.29580866</v>
      </c>
      <c r="G49" s="151">
        <f t="shared" si="17"/>
        <v>17.27538391</v>
      </c>
      <c r="H49" s="151">
        <f t="shared" si="17"/>
        <v>1.436494473</v>
      </c>
      <c r="I49" s="151">
        <f t="shared" si="17"/>
        <v>101.5890597</v>
      </c>
      <c r="J49" s="151">
        <f t="shared" si="17"/>
        <v>19.29580866</v>
      </c>
      <c r="K49" s="151">
        <f t="shared" si="17"/>
        <v>22.90010031</v>
      </c>
      <c r="L49" s="151">
        <f t="shared" si="17"/>
        <v>19.29580866</v>
      </c>
      <c r="M49" s="151">
        <f t="shared" si="17"/>
        <v>0</v>
      </c>
      <c r="N49" s="151">
        <f t="shared" si="17"/>
        <v>0</v>
      </c>
      <c r="O49" s="151">
        <f t="shared" si="17"/>
        <v>0</v>
      </c>
      <c r="P49" s="151">
        <f t="shared" si="17"/>
        <v>0</v>
      </c>
      <c r="Q49" s="151">
        <f t="shared" si="17"/>
        <v>0</v>
      </c>
      <c r="R49" s="151">
        <f t="shared" si="17"/>
        <v>0</v>
      </c>
      <c r="S49" s="151">
        <f t="shared" si="17"/>
        <v>0</v>
      </c>
      <c r="T49" s="151">
        <f t="shared" si="17"/>
        <v>0</v>
      </c>
      <c r="U49" s="151">
        <f t="shared" si="17"/>
        <v>0</v>
      </c>
      <c r="V49" s="151">
        <f t="shared" si="17"/>
        <v>0</v>
      </c>
      <c r="W49" s="151">
        <f t="shared" si="17"/>
        <v>0</v>
      </c>
      <c r="X49" s="151">
        <f t="shared" si="17"/>
        <v>0</v>
      </c>
      <c r="Y49" s="151">
        <f t="shared" si="17"/>
        <v>0</v>
      </c>
      <c r="Z49" s="151">
        <f t="shared" si="17"/>
        <v>0</v>
      </c>
      <c r="AA49" s="151">
        <f t="shared" si="17"/>
        <v>0</v>
      </c>
      <c r="AB49" s="151">
        <f t="shared" si="17"/>
        <v>0</v>
      </c>
      <c r="AC49" s="151">
        <f t="shared" si="17"/>
        <v>0</v>
      </c>
      <c r="AD49" s="151">
        <f t="shared" si="17"/>
        <v>0</v>
      </c>
      <c r="AE49" s="151">
        <f t="shared" si="17"/>
        <v>0</v>
      </c>
      <c r="AF49" s="151">
        <f t="shared" si="17"/>
        <v>0</v>
      </c>
      <c r="AG49" s="151">
        <f t="shared" si="17"/>
        <v>0</v>
      </c>
      <c r="AH49" s="151">
        <f t="shared" si="17"/>
        <v>0</v>
      </c>
      <c r="AI49" s="62"/>
      <c r="AJ49" s="62"/>
      <c r="AK49" s="62"/>
    </row>
    <row r="50">
      <c r="A50" s="1" t="s">
        <v>484</v>
      </c>
      <c r="B50" s="1"/>
      <c r="C50" s="208">
        <f t="shared" ref="C50:AH50" si="18">C35*(1+C45)*(1+C46)*C47*C36*IF(OR(C34="1-2", C34="2-2", C34="4-1", C34="4-3", C34="5-1", C34="5-3"), 1,C48)</f>
        <v>35.5561709</v>
      </c>
      <c r="D50" s="208">
        <f t="shared" si="18"/>
        <v>0</v>
      </c>
      <c r="E50" s="208">
        <f t="shared" si="18"/>
        <v>0</v>
      </c>
      <c r="F50" s="151">
        <f t="shared" si="18"/>
        <v>5.141542466</v>
      </c>
      <c r="G50" s="151">
        <f t="shared" si="18"/>
        <v>0</v>
      </c>
      <c r="H50" s="151">
        <f t="shared" si="18"/>
        <v>0</v>
      </c>
      <c r="I50" s="151">
        <f t="shared" si="18"/>
        <v>35.5561709</v>
      </c>
      <c r="J50" s="151">
        <f t="shared" si="18"/>
        <v>0</v>
      </c>
      <c r="K50" s="151">
        <f t="shared" si="18"/>
        <v>0</v>
      </c>
      <c r="L50" s="151">
        <f t="shared" si="18"/>
        <v>5.141542466</v>
      </c>
      <c r="M50" s="151">
        <f t="shared" si="18"/>
        <v>0</v>
      </c>
      <c r="N50" s="151">
        <f t="shared" si="18"/>
        <v>0</v>
      </c>
      <c r="O50" s="151">
        <f t="shared" si="18"/>
        <v>0</v>
      </c>
      <c r="P50" s="151">
        <f t="shared" si="18"/>
        <v>0</v>
      </c>
      <c r="Q50" s="151">
        <f t="shared" si="18"/>
        <v>0</v>
      </c>
      <c r="R50" s="151">
        <f t="shared" si="18"/>
        <v>0</v>
      </c>
      <c r="S50" s="151">
        <f t="shared" si="18"/>
        <v>0</v>
      </c>
      <c r="T50" s="151">
        <f t="shared" si="18"/>
        <v>0</v>
      </c>
      <c r="U50" s="151">
        <f t="shared" si="18"/>
        <v>0</v>
      </c>
      <c r="V50" s="151">
        <f t="shared" si="18"/>
        <v>0</v>
      </c>
      <c r="W50" s="151">
        <f t="shared" si="18"/>
        <v>0</v>
      </c>
      <c r="X50" s="151">
        <f t="shared" si="18"/>
        <v>0</v>
      </c>
      <c r="Y50" s="151">
        <f t="shared" si="18"/>
        <v>0</v>
      </c>
      <c r="Z50" s="151">
        <f t="shared" si="18"/>
        <v>0</v>
      </c>
      <c r="AA50" s="151">
        <f t="shared" si="18"/>
        <v>0</v>
      </c>
      <c r="AB50" s="151">
        <f t="shared" si="18"/>
        <v>0</v>
      </c>
      <c r="AC50" s="151">
        <f t="shared" si="18"/>
        <v>0</v>
      </c>
      <c r="AD50" s="151">
        <f t="shared" si="18"/>
        <v>0</v>
      </c>
      <c r="AE50" s="151">
        <f t="shared" si="18"/>
        <v>0</v>
      </c>
      <c r="AF50" s="151">
        <f t="shared" si="18"/>
        <v>0</v>
      </c>
      <c r="AG50" s="151">
        <f t="shared" si="18"/>
        <v>0</v>
      </c>
      <c r="AH50" s="151">
        <f t="shared" si="18"/>
        <v>0</v>
      </c>
      <c r="AI50" s="62"/>
      <c r="AJ50" s="258">
        <f>'헬퍼테이블'!E3</f>
        <v>9.039</v>
      </c>
      <c r="AK50" s="62" t="s">
        <v>485</v>
      </c>
    </row>
    <row r="51">
      <c r="A51" s="25" t="s">
        <v>141</v>
      </c>
      <c r="B51" s="217">
        <f>SUM(OFFSET(A49, 0, C32, 2, C32))</f>
        <v>222.4903691</v>
      </c>
      <c r="C51" s="217">
        <f>(1-'종합'!$K$17+'종합'!$K$12*'종합'!$K$17)*(1-'종합'!$K$16+'종합'!$K$11*'종합'!$K$16)*AJ51</f>
        <v>2.10201543</v>
      </c>
      <c r="D51" s="217">
        <f>(1-'종합'!$K$17+'종합'!$K$12*'종합'!$K$17)*(1-('종합'!$K$16+'종합'!$K$23)+'종합'!$K$11*('종합'!$K$16+'종합'!$K$23))*AJ47*if('무기룬'!$B$17=true,1.92,0.4)</f>
        <v>5.19625593</v>
      </c>
      <c r="E51" s="217">
        <f>sum(B51:D51)/AJ50</f>
        <v>25.42190955</v>
      </c>
      <c r="F51" s="215"/>
      <c r="G51" s="1"/>
      <c r="H51" s="1"/>
      <c r="I51" s="1"/>
      <c r="J51" s="1"/>
      <c r="K51" s="1"/>
      <c r="L51" s="62"/>
      <c r="M51" s="1"/>
      <c r="N51" s="1"/>
      <c r="O51" s="1"/>
      <c r="P51" s="1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258">
        <f>0.22*(1+'종합'!$C$28)*C32/3</f>
        <v>0.64724</v>
      </c>
      <c r="AK51" s="62" t="s">
        <v>486</v>
      </c>
    </row>
    <row r="52">
      <c r="A52" s="1"/>
      <c r="B52" s="1"/>
      <c r="C52" s="1" t="s">
        <v>487</v>
      </c>
      <c r="D52" s="1" t="s">
        <v>488</v>
      </c>
      <c r="E52" s="1" t="s">
        <v>489</v>
      </c>
      <c r="F52" s="1"/>
      <c r="G52" s="1"/>
      <c r="H52" s="1"/>
      <c r="I52" s="1"/>
      <c r="J52" s="1"/>
      <c r="K52" s="5"/>
      <c r="L52" s="259"/>
      <c r="M52" s="1"/>
      <c r="N52" s="1"/>
      <c r="O52" s="1"/>
      <c r="P52" s="1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62"/>
      <c r="M53" s="1"/>
      <c r="N53" s="1"/>
      <c r="O53" s="1"/>
      <c r="P53" s="1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</row>
    <row r="54">
      <c r="A54" s="1"/>
      <c r="B54" s="25" t="str">
        <f>'종합'!E37&amp;" "&amp;'종합'!E37</f>
        <v>2352 12 2352 12</v>
      </c>
      <c r="C54" s="208">
        <f>LEN(SUBSTITUTE(B54," ",""))/2</f>
        <v>6</v>
      </c>
      <c r="D54" s="1"/>
      <c r="E54" s="1"/>
      <c r="F54" s="1"/>
      <c r="G54" s="1"/>
      <c r="H54" s="1"/>
      <c r="I54" s="1"/>
      <c r="J54" s="1"/>
      <c r="K54" s="1"/>
      <c r="L54" s="62"/>
      <c r="M54" s="1"/>
      <c r="N54" s="1"/>
      <c r="O54" s="1"/>
      <c r="P54" s="1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</row>
    <row r="55">
      <c r="A55" s="1" t="str">
        <f t="shared" ref="A55:AH55" si="19">IFERROR(MID(SUBSTITUTE($B54," ",""),COLUMN(),1),"")</f>
        <v>2</v>
      </c>
      <c r="B55" s="1" t="str">
        <f t="shared" si="19"/>
        <v>3</v>
      </c>
      <c r="C55" s="1" t="str">
        <f t="shared" si="19"/>
        <v>5</v>
      </c>
      <c r="D55" s="1" t="str">
        <f t="shared" si="19"/>
        <v>2</v>
      </c>
      <c r="E55" s="1" t="str">
        <f t="shared" si="19"/>
        <v>1</v>
      </c>
      <c r="F55" s="1" t="str">
        <f t="shared" si="19"/>
        <v>2</v>
      </c>
      <c r="G55" s="1" t="str">
        <f t="shared" si="19"/>
        <v>2</v>
      </c>
      <c r="H55" s="1" t="str">
        <f t="shared" si="19"/>
        <v>3</v>
      </c>
      <c r="I55" s="1" t="str">
        <f t="shared" si="19"/>
        <v>5</v>
      </c>
      <c r="J55" s="1" t="str">
        <f t="shared" si="19"/>
        <v>2</v>
      </c>
      <c r="K55" s="1" t="str">
        <f t="shared" si="19"/>
        <v>1</v>
      </c>
      <c r="L55" s="1" t="str">
        <f t="shared" si="19"/>
        <v>2</v>
      </c>
      <c r="M55" s="1" t="str">
        <f t="shared" si="19"/>
        <v/>
      </c>
      <c r="N55" s="1" t="str">
        <f t="shared" si="19"/>
        <v/>
      </c>
      <c r="O55" s="1" t="str">
        <f t="shared" si="19"/>
        <v/>
      </c>
      <c r="P55" s="1" t="str">
        <f t="shared" si="19"/>
        <v/>
      </c>
      <c r="Q55" s="1" t="str">
        <f t="shared" si="19"/>
        <v/>
      </c>
      <c r="R55" s="1" t="str">
        <f t="shared" si="19"/>
        <v/>
      </c>
      <c r="S55" s="1" t="str">
        <f t="shared" si="19"/>
        <v/>
      </c>
      <c r="T55" s="1" t="str">
        <f t="shared" si="19"/>
        <v/>
      </c>
      <c r="U55" s="1" t="str">
        <f t="shared" si="19"/>
        <v/>
      </c>
      <c r="V55" s="1" t="str">
        <f t="shared" si="19"/>
        <v/>
      </c>
      <c r="W55" s="1" t="str">
        <f t="shared" si="19"/>
        <v/>
      </c>
      <c r="X55" s="1" t="str">
        <f t="shared" si="19"/>
        <v/>
      </c>
      <c r="Y55" s="1" t="str">
        <f t="shared" si="19"/>
        <v/>
      </c>
      <c r="Z55" s="1" t="str">
        <f t="shared" si="19"/>
        <v/>
      </c>
      <c r="AA55" s="1" t="str">
        <f t="shared" si="19"/>
        <v/>
      </c>
      <c r="AB55" s="1" t="str">
        <f t="shared" si="19"/>
        <v/>
      </c>
      <c r="AC55" s="1" t="str">
        <f t="shared" si="19"/>
        <v/>
      </c>
      <c r="AD55" s="1" t="str">
        <f t="shared" si="19"/>
        <v/>
      </c>
      <c r="AE55" s="1" t="str">
        <f t="shared" si="19"/>
        <v/>
      </c>
      <c r="AF55" s="1" t="str">
        <f t="shared" si="19"/>
        <v/>
      </c>
      <c r="AG55" s="1" t="str">
        <f t="shared" si="19"/>
        <v/>
      </c>
      <c r="AH55" s="1" t="str">
        <f t="shared" si="19"/>
        <v/>
      </c>
      <c r="AI55" s="62"/>
      <c r="AJ55" s="62"/>
      <c r="AK55" s="62"/>
    </row>
    <row r="56">
      <c r="A56" s="238" t="str">
        <f t="array" ref="A56">LET(
    digit, IFERROR(VALUE(A55),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2-1</v>
      </c>
      <c r="B56" s="238" t="str">
        <f t="array" ref="B56">LET(
    digit, IFERROR(VALUE(B55),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3</v>
      </c>
      <c r="C56" s="238" t="str">
        <f t="array" ref="C56">LET(
    digit, IFERROR(VALUE(C55),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5</v>
      </c>
      <c r="D56" s="238" t="str">
        <f t="array" ref="D56">LET(
    digit, IFERROR(VALUE(D55),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2-2</v>
      </c>
      <c r="E56" s="238" t="str">
        <f t="array" ref="E56">LET(
    digit, IFERROR(VALUE(E55),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1-1</v>
      </c>
      <c r="F56" s="238" t="str">
        <f t="array" ref="F56">LET(
    digit, IFERROR(VALUE(F55),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2-2</v>
      </c>
      <c r="G56" s="238" t="str">
        <f t="array" ref="G56">LET(
    digit, IFERROR(VALUE(G55),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2-1</v>
      </c>
      <c r="H56" s="238" t="str">
        <f t="array" ref="H56">LET(
    digit, IFERROR(VALUE(H55),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3</v>
      </c>
      <c r="I56" s="238" t="str">
        <f t="array" ref="I56">LET(
    digit, IFERROR(VALUE(I55),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5</v>
      </c>
      <c r="J56" s="238" t="str">
        <f t="array" ref="J56">LET(
    digit, IFERROR(VALUE(J55),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2-2</v>
      </c>
      <c r="K56" s="238" t="str">
        <f t="array" ref="K56">LET(
    digit, IFERROR(VALUE(K55),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1-1</v>
      </c>
      <c r="L56" s="238" t="str">
        <f t="array" ref="L56">LET(
    digit, IFERROR(VALUE(L55),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2-2</v>
      </c>
      <c r="M56" s="238" t="str">
        <f t="array" ref="M56">LET(
    digit, IFERROR(VALUE(M55),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N56" s="238" t="str">
        <f t="array" ref="N56">LET(
    digit, IFERROR(VALUE(N55),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O56" s="238" t="str">
        <f t="array" ref="O56">LET(
    digit, IFERROR(VALUE(O55),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P56" s="238" t="str">
        <f t="array" ref="P56">LET(
    digit, IFERROR(VALUE(P55),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Q56" s="238" t="str">
        <f t="array" ref="Q56">LET(
    digit, IFERROR(VALUE(Q55),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R56" s="238" t="str">
        <f t="array" ref="R56">LET(
    digit, IFERROR(VALUE(R55),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S56" s="238" t="str">
        <f t="array" ref="S56">LET(
    digit, IFERROR(VALUE(S55),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T56" s="238" t="str">
        <f t="array" ref="T56">LET(
    digit, IFERROR(VALUE(T55),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U56" s="238" t="str">
        <f t="array" ref="U56">LET(
    digit, IFERROR(VALUE(U55),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V56" s="238" t="str">
        <f t="array" ref="V56">LET(
    digit, IFERROR(VALUE(V55),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W56" s="238" t="str">
        <f t="array" ref="W56">LET(
    digit, IFERROR(VALUE(W55),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X56" s="238" t="str">
        <f t="array" ref="X56">LET(
    digit, IFERROR(VALUE(X55),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Y56" s="238" t="str">
        <f t="array" ref="Y56">LET(
    digit, IFERROR(VALUE(Y55),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Z56" s="238" t="str">
        <f t="array" ref="Z56">LET(
    digit, IFERROR(VALUE(Z55),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A56" s="238" t="str">
        <f t="array" ref="AA56">LET(
    digit, IFERROR(VALUE(AA55),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B56" s="238" t="str">
        <f t="array" ref="AB56">LET(
    digit, IFERROR(VALUE(AB55),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C56" s="238" t="str">
        <f t="array" ref="AC56">LET(
    digit, IFERROR(VALUE(AC55),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D56" s="238" t="str">
        <f t="array" ref="AD56">LET(
    digit, IFERROR(VALUE(AD55),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E56" s="238" t="str">
        <f t="array" ref="AE56">LET(
    digit, IFERROR(VALUE(AE55),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F56" s="238" t="str">
        <f t="array" ref="AF56">LET(
    digit, IFERROR(VALUE(AF55),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G56" s="238" t="str">
        <f t="array" ref="AG56">LET(
    digit, IFERROR(VALUE(AG55),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H56" s="238" t="str">
        <f t="array" ref="AH56">LET(
    digit, IFERROR(VALUE(AH55),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I56" s="238"/>
      <c r="AJ56" s="238" t="s">
        <v>470</v>
      </c>
      <c r="AK56" s="62" t="s">
        <v>107</v>
      </c>
    </row>
    <row r="57">
      <c r="A57" s="151">
        <f t="shared" ref="A57:AH57" si="20">IFNA(OFFSET(INDEX($24:$24, MATCH(A56, $24:$24, 0)), 5, 1), "")*if(A56="2-2",3,1)</f>
        <v>1.82559</v>
      </c>
      <c r="B57" s="151">
        <f t="shared" si="20"/>
        <v>0.1699388</v>
      </c>
      <c r="C57" s="151">
        <f t="shared" si="20"/>
        <v>6.27266</v>
      </c>
      <c r="D57" s="151">
        <f t="shared" si="20"/>
        <v>6.1173</v>
      </c>
      <c r="E57" s="151">
        <f t="shared" si="20"/>
        <v>2.4199864</v>
      </c>
      <c r="F57" s="151">
        <f t="shared" si="20"/>
        <v>6.1173</v>
      </c>
      <c r="G57" s="151">
        <f t="shared" si="20"/>
        <v>1.82559</v>
      </c>
      <c r="H57" s="151">
        <f t="shared" si="20"/>
        <v>0.1699388</v>
      </c>
      <c r="I57" s="151">
        <f t="shared" si="20"/>
        <v>6.27266</v>
      </c>
      <c r="J57" s="151">
        <f t="shared" si="20"/>
        <v>6.1173</v>
      </c>
      <c r="K57" s="151">
        <f t="shared" si="20"/>
        <v>2.4199864</v>
      </c>
      <c r="L57" s="151">
        <f t="shared" si="20"/>
        <v>6.1173</v>
      </c>
      <c r="M57" s="151">
        <f t="shared" si="20"/>
        <v>0</v>
      </c>
      <c r="N57" s="151">
        <f t="shared" si="20"/>
        <v>0</v>
      </c>
      <c r="O57" s="151">
        <f t="shared" si="20"/>
        <v>0</v>
      </c>
      <c r="P57" s="151">
        <f t="shared" si="20"/>
        <v>0</v>
      </c>
      <c r="Q57" s="151">
        <f t="shared" si="20"/>
        <v>0</v>
      </c>
      <c r="R57" s="151">
        <f t="shared" si="20"/>
        <v>0</v>
      </c>
      <c r="S57" s="151">
        <f t="shared" si="20"/>
        <v>0</v>
      </c>
      <c r="T57" s="151">
        <f t="shared" si="20"/>
        <v>0</v>
      </c>
      <c r="U57" s="151">
        <f t="shared" si="20"/>
        <v>0</v>
      </c>
      <c r="V57" s="151">
        <f t="shared" si="20"/>
        <v>0</v>
      </c>
      <c r="W57" s="151">
        <f t="shared" si="20"/>
        <v>0</v>
      </c>
      <c r="X57" s="151">
        <f t="shared" si="20"/>
        <v>0</v>
      </c>
      <c r="Y57" s="151">
        <f t="shared" si="20"/>
        <v>0</v>
      </c>
      <c r="Z57" s="151">
        <f t="shared" si="20"/>
        <v>0</v>
      </c>
      <c r="AA57" s="151">
        <f t="shared" si="20"/>
        <v>0</v>
      </c>
      <c r="AB57" s="151">
        <f t="shared" si="20"/>
        <v>0</v>
      </c>
      <c r="AC57" s="151">
        <f t="shared" si="20"/>
        <v>0</v>
      </c>
      <c r="AD57" s="151">
        <f t="shared" si="20"/>
        <v>0</v>
      </c>
      <c r="AE57" s="151">
        <f t="shared" si="20"/>
        <v>0</v>
      </c>
      <c r="AF57" s="151">
        <f t="shared" si="20"/>
        <v>0</v>
      </c>
      <c r="AG57" s="151">
        <f t="shared" si="20"/>
        <v>0</v>
      </c>
      <c r="AH57" s="151">
        <f t="shared" si="20"/>
        <v>0</v>
      </c>
      <c r="AI57" s="62"/>
      <c r="AJ57" s="62"/>
      <c r="AK57" s="62" t="s">
        <v>469</v>
      </c>
    </row>
    <row r="58">
      <c r="A58" s="1"/>
      <c r="B58" s="1"/>
      <c r="C58" s="151">
        <f t="shared" ref="C58:AH58" si="21">IFS(
    OR(C56="3", ISBLANK(C56)), "",
    AND(B56="3", OR(A56="1-1", A56="2-1", A56="4-2", A56="5-2")), 0.35,
    OR(B56="1-1", B56="2-1", B56="4-2", B56="5-2"), 0.35,
    TRUE, ""
)</f>
        <v>0.35</v>
      </c>
      <c r="D58" s="1" t="str">
        <f t="shared" si="21"/>
        <v/>
      </c>
      <c r="E58" s="1" t="str">
        <f t="shared" si="21"/>
        <v/>
      </c>
      <c r="F58" s="1">
        <f t="shared" si="21"/>
        <v>0.35</v>
      </c>
      <c r="G58" s="151" t="str">
        <f t="shared" si="21"/>
        <v/>
      </c>
      <c r="H58" s="1" t="str">
        <f t="shared" si="21"/>
        <v/>
      </c>
      <c r="I58" s="1">
        <f t="shared" si="21"/>
        <v>0.35</v>
      </c>
      <c r="J58" s="151" t="str">
        <f t="shared" si="21"/>
        <v/>
      </c>
      <c r="K58" s="1" t="str">
        <f t="shared" si="21"/>
        <v/>
      </c>
      <c r="L58" s="1">
        <f t="shared" si="21"/>
        <v>0.35</v>
      </c>
      <c r="M58" s="1" t="str">
        <f t="shared" si="21"/>
        <v/>
      </c>
      <c r="N58" s="151" t="str">
        <f t="shared" si="21"/>
        <v/>
      </c>
      <c r="O58" s="1" t="str">
        <f t="shared" si="21"/>
        <v/>
      </c>
      <c r="P58" s="1" t="str">
        <f t="shared" si="21"/>
        <v/>
      </c>
      <c r="Q58" s="1" t="str">
        <f t="shared" si="21"/>
        <v/>
      </c>
      <c r="R58" s="1" t="str">
        <f t="shared" si="21"/>
        <v/>
      </c>
      <c r="S58" s="1" t="str">
        <f t="shared" si="21"/>
        <v/>
      </c>
      <c r="T58" s="1" t="str">
        <f t="shared" si="21"/>
        <v/>
      </c>
      <c r="U58" s="1" t="str">
        <f t="shared" si="21"/>
        <v/>
      </c>
      <c r="V58" s="1" t="str">
        <f t="shared" si="21"/>
        <v/>
      </c>
      <c r="W58" s="1" t="str">
        <f t="shared" si="21"/>
        <v/>
      </c>
      <c r="X58" s="1" t="str">
        <f t="shared" si="21"/>
        <v/>
      </c>
      <c r="Y58" s="1" t="str">
        <f t="shared" si="21"/>
        <v/>
      </c>
      <c r="Z58" s="1" t="str">
        <f t="shared" si="21"/>
        <v/>
      </c>
      <c r="AA58" s="1" t="str">
        <f t="shared" si="21"/>
        <v/>
      </c>
      <c r="AB58" s="1" t="str">
        <f t="shared" si="21"/>
        <v/>
      </c>
      <c r="AC58" s="1" t="str">
        <f t="shared" si="21"/>
        <v/>
      </c>
      <c r="AD58" s="1" t="str">
        <f t="shared" si="21"/>
        <v/>
      </c>
      <c r="AE58" s="1" t="str">
        <f t="shared" si="21"/>
        <v/>
      </c>
      <c r="AF58" s="1" t="str">
        <f t="shared" si="21"/>
        <v/>
      </c>
      <c r="AG58" s="1" t="str">
        <f t="shared" si="21"/>
        <v/>
      </c>
      <c r="AH58" s="1" t="str">
        <f t="shared" si="21"/>
        <v/>
      </c>
      <c r="AI58" s="62"/>
      <c r="AJ58" s="62"/>
      <c r="AK58" s="62" t="s">
        <v>471</v>
      </c>
    </row>
    <row r="59">
      <c r="A59" s="1"/>
      <c r="B59" s="1"/>
      <c r="C59" s="1" t="str">
        <f t="shared" ref="C59:AH59" si="22">IF(OR(C56="4-1", C56="4-2", C56="4-3"), C57, "")</f>
        <v/>
      </c>
      <c r="D59" s="1" t="str">
        <f t="shared" si="22"/>
        <v/>
      </c>
      <c r="E59" s="1" t="str">
        <f t="shared" si="22"/>
        <v/>
      </c>
      <c r="F59" s="1" t="str">
        <f t="shared" si="22"/>
        <v/>
      </c>
      <c r="G59" s="1" t="str">
        <f t="shared" si="22"/>
        <v/>
      </c>
      <c r="H59" s="1" t="str">
        <f t="shared" si="22"/>
        <v/>
      </c>
      <c r="I59" s="1" t="str">
        <f t="shared" si="22"/>
        <v/>
      </c>
      <c r="J59" s="1" t="str">
        <f t="shared" si="22"/>
        <v/>
      </c>
      <c r="K59" s="1" t="str">
        <f t="shared" si="22"/>
        <v/>
      </c>
      <c r="L59" s="1" t="str">
        <f t="shared" si="22"/>
        <v/>
      </c>
      <c r="M59" s="1" t="str">
        <f t="shared" si="22"/>
        <v/>
      </c>
      <c r="N59" s="1" t="str">
        <f t="shared" si="22"/>
        <v/>
      </c>
      <c r="O59" s="1" t="str">
        <f t="shared" si="22"/>
        <v/>
      </c>
      <c r="P59" s="1" t="str">
        <f t="shared" si="22"/>
        <v/>
      </c>
      <c r="Q59" s="1" t="str">
        <f t="shared" si="22"/>
        <v/>
      </c>
      <c r="R59" s="1" t="str">
        <f t="shared" si="22"/>
        <v/>
      </c>
      <c r="S59" s="1" t="str">
        <f t="shared" si="22"/>
        <v/>
      </c>
      <c r="T59" s="1" t="str">
        <f t="shared" si="22"/>
        <v/>
      </c>
      <c r="U59" s="1" t="str">
        <f t="shared" si="22"/>
        <v/>
      </c>
      <c r="V59" s="1" t="str">
        <f t="shared" si="22"/>
        <v/>
      </c>
      <c r="W59" s="1" t="str">
        <f t="shared" si="22"/>
        <v/>
      </c>
      <c r="X59" s="1" t="str">
        <f t="shared" si="22"/>
        <v/>
      </c>
      <c r="Y59" s="1" t="str">
        <f t="shared" si="22"/>
        <v/>
      </c>
      <c r="Z59" s="1" t="str">
        <f t="shared" si="22"/>
        <v/>
      </c>
      <c r="AA59" s="1" t="str">
        <f t="shared" si="22"/>
        <v/>
      </c>
      <c r="AB59" s="1" t="str">
        <f t="shared" si="22"/>
        <v/>
      </c>
      <c r="AC59" s="1" t="str">
        <f t="shared" si="22"/>
        <v/>
      </c>
      <c r="AD59" s="1" t="str">
        <f t="shared" si="22"/>
        <v/>
      </c>
      <c r="AE59" s="1" t="str">
        <f t="shared" si="22"/>
        <v/>
      </c>
      <c r="AF59" s="1" t="str">
        <f t="shared" si="22"/>
        <v/>
      </c>
      <c r="AG59" s="1" t="str">
        <f t="shared" si="22"/>
        <v/>
      </c>
      <c r="AH59" s="1" t="str">
        <f t="shared" si="22"/>
        <v/>
      </c>
      <c r="AI59" s="62"/>
      <c r="AJ59" s="62"/>
      <c r="AK59" s="62" t="s">
        <v>461</v>
      </c>
    </row>
    <row r="60">
      <c r="A60" s="1"/>
      <c r="B60" s="1"/>
      <c r="C60" s="151">
        <f t="shared" ref="C60:AH60" si="23">if(C56="3",0,0.15)</f>
        <v>0.15</v>
      </c>
      <c r="D60" s="151">
        <f t="shared" si="23"/>
        <v>0.15</v>
      </c>
      <c r="E60" s="151">
        <f t="shared" si="23"/>
        <v>0.15</v>
      </c>
      <c r="F60" s="151">
        <f t="shared" si="23"/>
        <v>0.15</v>
      </c>
      <c r="G60" s="151">
        <f t="shared" si="23"/>
        <v>0.15</v>
      </c>
      <c r="H60" s="151">
        <f t="shared" si="23"/>
        <v>0</v>
      </c>
      <c r="I60" s="151">
        <f t="shared" si="23"/>
        <v>0.15</v>
      </c>
      <c r="J60" s="151">
        <f t="shared" si="23"/>
        <v>0.15</v>
      </c>
      <c r="K60" s="151">
        <f t="shared" si="23"/>
        <v>0.15</v>
      </c>
      <c r="L60" s="151">
        <f t="shared" si="23"/>
        <v>0.15</v>
      </c>
      <c r="M60" s="151">
        <f t="shared" si="23"/>
        <v>0.15</v>
      </c>
      <c r="N60" s="151">
        <f t="shared" si="23"/>
        <v>0.15</v>
      </c>
      <c r="O60" s="151">
        <f t="shared" si="23"/>
        <v>0.15</v>
      </c>
      <c r="P60" s="151">
        <f t="shared" si="23"/>
        <v>0.15</v>
      </c>
      <c r="Q60" s="151">
        <f t="shared" si="23"/>
        <v>0.15</v>
      </c>
      <c r="R60" s="151">
        <f t="shared" si="23"/>
        <v>0.15</v>
      </c>
      <c r="S60" s="151">
        <f t="shared" si="23"/>
        <v>0.15</v>
      </c>
      <c r="T60" s="151">
        <f t="shared" si="23"/>
        <v>0.15</v>
      </c>
      <c r="U60" s="151">
        <f t="shared" si="23"/>
        <v>0.15</v>
      </c>
      <c r="V60" s="151">
        <f t="shared" si="23"/>
        <v>0.15</v>
      </c>
      <c r="W60" s="151">
        <f t="shared" si="23"/>
        <v>0.15</v>
      </c>
      <c r="X60" s="151">
        <f t="shared" si="23"/>
        <v>0.15</v>
      </c>
      <c r="Y60" s="151">
        <f t="shared" si="23"/>
        <v>0.15</v>
      </c>
      <c r="Z60" s="151">
        <f t="shared" si="23"/>
        <v>0.15</v>
      </c>
      <c r="AA60" s="151">
        <f t="shared" si="23"/>
        <v>0.15</v>
      </c>
      <c r="AB60" s="151">
        <f t="shared" si="23"/>
        <v>0.15</v>
      </c>
      <c r="AC60" s="151">
        <f t="shared" si="23"/>
        <v>0.15</v>
      </c>
      <c r="AD60" s="151">
        <f t="shared" si="23"/>
        <v>0.15</v>
      </c>
      <c r="AE60" s="151">
        <f t="shared" si="23"/>
        <v>0.15</v>
      </c>
      <c r="AF60" s="151">
        <f t="shared" si="23"/>
        <v>0.15</v>
      </c>
      <c r="AG60" s="151">
        <f t="shared" si="23"/>
        <v>0.15</v>
      </c>
      <c r="AH60" s="151">
        <f t="shared" si="23"/>
        <v>0.15</v>
      </c>
      <c r="AI60" s="62"/>
      <c r="AJ60" s="62"/>
      <c r="AK60" s="62" t="s">
        <v>472</v>
      </c>
    </row>
    <row r="61">
      <c r="A61" s="1"/>
      <c r="B61" s="1"/>
      <c r="C61" s="151">
        <f>IFERROR(__xludf.DUMMYFUNCTION("LET(
    target_regex, ""^5$|^5-3$|^1-2$|^2-2$|^4-3$"",
    IF(REGEXMATCH(TO_TEXT(C56), target_regex),
        IF(B56=""2-1"", 0.5,
        IF(REGEXMATCH(TO_TEXT(B56), target_regex), 0,
            IF(A56=""2-1"", 0.5,
            IF(REGEXMATCH(TO_TEXT(A5"&amp;"6), target_regex), 0,
                IF(#REF!=""2-1"", 0.5,
                IF(REGEXMATCH(TO_TEXT(#REF!), target_regex), 0,
                    IF(#REF!=""2-1"", 0.5,
                    IF(REGEXMATCH(TO_TEXT(#REF!), target_regex), 0, """")
             "&amp;"       )
                ))
            ))
        )),
    """")
)*IF($F$23=""전진"", 1, 0)"),0.5)</f>
        <v>0.5</v>
      </c>
      <c r="D61" s="151">
        <f>IFERROR(__xludf.DUMMYFUNCTION("LET(
    target_regex, ""^5$|^5-3$|^1-2$|^2-2$|^4-3$"",
    IF(REGEXMATCH(TO_TEXT(D56), target_regex),
        IF(C56=""2-1"", 0.5,
        IF(REGEXMATCH(TO_TEXT(C56), target_regex), 0,
            IF(B56=""2-1"", 0.5,
            IF(REGEXMATCH(TO_TEXT(B5"&amp;"6), target_regex), 0,
                IF(A56=""2-1"", 0.5,
                IF(REGEXMATCH(TO_TEXT(A56), target_regex), 0,
                    IF(#REF!=""2-1"", 0.5,
                    IF(REGEXMATCH(TO_TEXT(#REF!), target_regex), 0, """")
                 "&amp;"   )
                ))
            ))
        )),
    """")
)*IF($F$23=""전진"", 1, 0)"),0.0)</f>
        <v>0</v>
      </c>
      <c r="E61" s="151">
        <f>IFERROR(__xludf.DUMMYFUNCTION("LET(
    target_regex, ""^5$|^5-3$|^1-2$|^2-2$|^4-3$"",
    IF(REGEXMATCH(TO_TEXT(E56), target_regex),
        IF(D56=""2-1"", 0.5,
        IF(REGEXMATCH(TO_TEXT(D56), target_regex), 0,
            IF(C56=""2-1"", 0.5,
            IF(REGEXMATCH(TO_TEXT(C5"&amp;"6), target_regex), 0,
                IF(B56=""2-1"", 0.5,
                IF(REGEXMATCH(TO_TEXT(B56), target_regex), 0,
                    IF(A56=""2-1"", 0.5,
                    IF(REGEXMATCH(TO_TEXT(A56), target_regex), 0, """")
                    )"&amp;"
                ))
            ))
        )),
    """")
)*IF($F$23=""전진"", 1, 0)"),0.0)</f>
        <v>0</v>
      </c>
      <c r="F61" s="151">
        <f>IFERROR(__xludf.DUMMYFUNCTION("LET(
    target_regex, ""^5$|^5-3$|^1-2$|^2-2$|^4-3$"",
    IF(REGEXMATCH(TO_TEXT(F56), target_regex),
        IF(E56=""2-1"", 0.5,
        IF(REGEXMATCH(TO_TEXT(E56), target_regex), 0,
            IF(D56=""2-1"", 0.5,
            IF(REGEXMATCH(TO_TEXT(D5"&amp;"6), target_regex), 0,
                IF(C56=""2-1"", 0.5,
                IF(REGEXMATCH(TO_TEXT(C56), target_regex), 0,
                    IF(B56=""2-1"", 0.5,
                    IF(REGEXMATCH(TO_TEXT(B56), target_regex), 0, """")
                    )"&amp;"
                ))
            ))
        )),
    """")
)*IF($F$23=""전진"", 1, 0)"),0.0)</f>
        <v>0</v>
      </c>
      <c r="G61" s="151">
        <f>IFERROR(__xludf.DUMMYFUNCTION("LET(
    target_regex, ""^5$|^5-3$|^1-2$|^2-2$|^4-3$"",
    IF(REGEXMATCH(TO_TEXT(G56), target_regex),
        IF(F56=""2-1"", 0.5,
        IF(REGEXMATCH(TO_TEXT(F56), target_regex), 0,
            IF(E56=""2-1"", 0.5,
            IF(REGEXMATCH(TO_TEXT(E5"&amp;"6), target_regex), 0,
                IF(D56=""2-1"", 0.5,
                IF(REGEXMATCH(TO_TEXT(D56), target_regex), 0,
                    IF(C56=""2-1"", 0.5,
                    IF(REGEXMATCH(TO_TEXT(C56), target_regex), 0, """")
                    )"&amp;"
                ))
            ))
        )),
    """")
)*IF($F$23=""전진"", 1, 0)"),0.0)</f>
        <v>0</v>
      </c>
      <c r="H61" s="151">
        <f>IFERROR(__xludf.DUMMYFUNCTION("LET(
    target_regex, ""^5$|^5-3$|^1-2$|^2-2$|^4-3$"",
    IF(REGEXMATCH(TO_TEXT(H56), target_regex),
        IF(G56=""2-1"", 0.5,
        IF(REGEXMATCH(TO_TEXT(G56), target_regex), 0,
            IF(F56=""2-1"", 0.5,
            IF(REGEXMATCH(TO_TEXT(F5"&amp;"6), target_regex), 0,
                IF(E56=""2-1"", 0.5,
                IF(REGEXMATCH(TO_TEXT(E56), target_regex), 0,
                    IF(D56=""2-1"", 0.5,
                    IF(REGEXMATCH(TO_TEXT(D56), target_regex), 0, """")
                    )"&amp;"
                ))
            ))
        )),
    """")
)*IF($F$23=""전진"", 1, 0)"),0.0)</f>
        <v>0</v>
      </c>
      <c r="I61" s="151">
        <f>IFERROR(__xludf.DUMMYFUNCTION("LET(
    target_regex, ""^5$|^5-3$|^1-2$|^2-2$|^4-3$"",
    IF(REGEXMATCH(TO_TEXT(I56), target_regex),
        IF(H56=""2-1"", 0.5,
        IF(REGEXMATCH(TO_TEXT(H56), target_regex), 0,
            IF(G56=""2-1"", 0.5,
            IF(REGEXMATCH(TO_TEXT(G5"&amp;"6), target_regex), 0,
                IF(F56=""2-1"", 0.5,
                IF(REGEXMATCH(TO_TEXT(F56), target_regex), 0,
                    IF(E56=""2-1"", 0.5,
                    IF(REGEXMATCH(TO_TEXT(E56), target_regex), 0, """")
                    )"&amp;"
                ))
            ))
        )),
    """")
)*IF($F$23=""전진"", 1, 0)"),0.5)</f>
        <v>0.5</v>
      </c>
      <c r="J61" s="151">
        <f>IFERROR(__xludf.DUMMYFUNCTION("LET(
    target_regex, ""^5$|^5-3$|^1-2$|^2-2$|^4-3$"",
    IF(REGEXMATCH(TO_TEXT(J56), target_regex),
        IF(I56=""2-1"", 0.5,
        IF(REGEXMATCH(TO_TEXT(I56), target_regex), 0,
            IF(H56=""2-1"", 0.5,
            IF(REGEXMATCH(TO_TEXT(H5"&amp;"6), target_regex), 0,
                IF(G56=""2-1"", 0.5,
                IF(REGEXMATCH(TO_TEXT(G56), target_regex), 0,
                    IF(F56=""2-1"", 0.5,
                    IF(REGEXMATCH(TO_TEXT(F56), target_regex), 0, """")
                    )"&amp;"
                ))
            ))
        )),
    """")
)*IF($F$23=""전진"", 1, 0)"),0.0)</f>
        <v>0</v>
      </c>
      <c r="K61" s="151">
        <f>IFERROR(__xludf.DUMMYFUNCTION("LET(
    target_regex, ""^5$|^5-3$|^1-2$|^2-2$|^4-3$"",
    IF(REGEXMATCH(TO_TEXT(K56), target_regex),
        IF(J56=""2-1"", 0.5,
        IF(REGEXMATCH(TO_TEXT(J56), target_regex), 0,
            IF(I56=""2-1"", 0.5,
            IF(REGEXMATCH(TO_TEXT(I5"&amp;"6), target_regex), 0,
                IF(H56=""2-1"", 0.5,
                IF(REGEXMATCH(TO_TEXT(H56), target_regex), 0,
                    IF(G56=""2-1"", 0.5,
                    IF(REGEXMATCH(TO_TEXT(G56), target_regex), 0, """")
                    )"&amp;"
                ))
            ))
        )),
    """")
)*IF($F$23=""전진"", 1, 0)"),0.0)</f>
        <v>0</v>
      </c>
      <c r="L61" s="151">
        <f>IFERROR(__xludf.DUMMYFUNCTION("LET(
    target_regex, ""^5$|^5-3$|^1-2$|^2-2$|^4-3$"",
    IF(REGEXMATCH(TO_TEXT(L56), target_regex),
        IF(K56=""2-1"", 0.5,
        IF(REGEXMATCH(TO_TEXT(K56), target_regex), 0,
            IF(J56=""2-1"", 0.5,
            IF(REGEXMATCH(TO_TEXT(J5"&amp;"6), target_regex), 0,
                IF(I56=""2-1"", 0.5,
                IF(REGEXMATCH(TO_TEXT(I56), target_regex), 0,
                    IF(H56=""2-1"", 0.5,
                    IF(REGEXMATCH(TO_TEXT(H56), target_regex), 0, """")
                    )"&amp;"
                ))
            ))
        )),
    """")
)*IF($F$23=""전진"", 1, 0)"),0.0)</f>
        <v>0</v>
      </c>
      <c r="M61" s="151">
        <f>IFERROR(__xludf.DUMMYFUNCTION("LET(
    target_regex, ""^5$|^5-3$|^1-2$|^2-2$|^4-3$"",
    IF(REGEXMATCH(TO_TEXT(M56), target_regex),
        IF(L56=""2-1"", 0.5,
        IF(REGEXMATCH(TO_TEXT(L56), target_regex), 0,
            IF(K56=""2-1"", 0.5,
            IF(REGEXMATCH(TO_TEXT(K5"&amp;"6), target_regex), 0,
                IF(J56=""2-1"", 0.5,
                IF(REGEXMATCH(TO_TEXT(J56), target_regex), 0,
                    IF(I56=""2-1"", 0.5,
                    IF(REGEXMATCH(TO_TEXT(I56), target_regex), 0, """")
                    )"&amp;"
                ))
            ))
        )),
    """")
)*IF($F$23=""전진"", 1, 0)"),0.0)</f>
        <v>0</v>
      </c>
      <c r="N61" s="151">
        <f>IFERROR(__xludf.DUMMYFUNCTION("LET(
    target_regex, ""^5$|^5-3$|^1-2$|^2-2$|^4-3$"",
    IF(REGEXMATCH(TO_TEXT(N56), target_regex),
        IF(M56=""2-1"", 0.5,
        IF(REGEXMATCH(TO_TEXT(M56), target_regex), 0,
            IF(L56=""2-1"", 0.5,
            IF(REGEXMATCH(TO_TEXT(L5"&amp;"6), target_regex), 0,
                IF(K56=""2-1"", 0.5,
                IF(REGEXMATCH(TO_TEXT(K56), target_regex), 0,
                    IF(J56=""2-1"", 0.5,
                    IF(REGEXMATCH(TO_TEXT(J56), target_regex), 0, """")
                    )"&amp;"
                ))
            ))
        )),
    """")
)*IF($F$23=""전진"", 1, 0)"),0.0)</f>
        <v>0</v>
      </c>
      <c r="O61" s="151">
        <f>IFERROR(__xludf.DUMMYFUNCTION("LET(
    target_regex, ""^5$|^5-3$|^1-2$|^2-2$|^4-3$"",
    IF(REGEXMATCH(TO_TEXT(O56), target_regex),
        IF(N56=""2-1"", 0.5,
        IF(REGEXMATCH(TO_TEXT(N56), target_regex), 0,
            IF(M56=""2-1"", 0.5,
            IF(REGEXMATCH(TO_TEXT(M5"&amp;"6), target_regex), 0,
                IF(L56=""2-1"", 0.5,
                IF(REGEXMATCH(TO_TEXT(L56), target_regex), 0,
                    IF(K56=""2-1"", 0.5,
                    IF(REGEXMATCH(TO_TEXT(K56), target_regex), 0, """")
                    )"&amp;"
                ))
            ))
        )),
    """")
)*IF($F$23=""전진"", 1, 0)"),0.0)</f>
        <v>0</v>
      </c>
      <c r="P61" s="151">
        <f>IFERROR(__xludf.DUMMYFUNCTION("LET(
    target_regex, ""^5$|^5-3$|^1-2$|^2-2$|^4-3$"",
    IF(REGEXMATCH(TO_TEXT(P56), target_regex),
        IF(O56=""2-1"", 0.5,
        IF(REGEXMATCH(TO_TEXT(O56), target_regex), 0,
            IF(N56=""2-1"", 0.5,
            IF(REGEXMATCH(TO_TEXT(N5"&amp;"6), target_regex), 0,
                IF(M56=""2-1"", 0.5,
                IF(REGEXMATCH(TO_TEXT(M56), target_regex), 0,
                    IF(L56=""2-1"", 0.5,
                    IF(REGEXMATCH(TO_TEXT(L56), target_regex), 0, """")
                    )"&amp;"
                ))
            ))
        )),
    """")
)*IF($F$23=""전진"", 1, 0)"),0.0)</f>
        <v>0</v>
      </c>
      <c r="Q61" s="151">
        <f>IFERROR(__xludf.DUMMYFUNCTION("LET(
    target_regex, ""^5$|^5-3$|^1-2$|^2-2$|^4-3$"",
    IF(REGEXMATCH(TO_TEXT(Q56), target_regex),
        IF(P56=""2-1"", 0.5,
        IF(REGEXMATCH(TO_TEXT(P56), target_regex), 0,
            IF(O56=""2-1"", 0.5,
            IF(REGEXMATCH(TO_TEXT(O5"&amp;"6), target_regex), 0,
                IF(N56=""2-1"", 0.5,
                IF(REGEXMATCH(TO_TEXT(N56), target_regex), 0,
                    IF(M56=""2-1"", 0.5,
                    IF(REGEXMATCH(TO_TEXT(M56), target_regex), 0, """")
                    )"&amp;"
                ))
            ))
        )),
    """")
)*IF($F$23=""전진"", 1, 0)"),0.0)</f>
        <v>0</v>
      </c>
      <c r="R61" s="151">
        <f>IFERROR(__xludf.DUMMYFUNCTION("LET(
    target_regex, ""^5$|^5-3$|^1-2$|^2-2$|^4-3$"",
    IF(REGEXMATCH(TO_TEXT(R56), target_regex),
        IF(Q56=""2-1"", 0.5,
        IF(REGEXMATCH(TO_TEXT(Q56), target_regex), 0,
            IF(P56=""2-1"", 0.5,
            IF(REGEXMATCH(TO_TEXT(P5"&amp;"6), target_regex), 0,
                IF(O56=""2-1"", 0.5,
                IF(REGEXMATCH(TO_TEXT(O56), target_regex), 0,
                    IF(N56=""2-1"", 0.5,
                    IF(REGEXMATCH(TO_TEXT(N56), target_regex), 0, """")
                    )"&amp;"
                ))
            ))
        )),
    """")
)*IF($F$23=""전진"", 1, 0)"),0.0)</f>
        <v>0</v>
      </c>
      <c r="S61" s="151">
        <f>IFERROR(__xludf.DUMMYFUNCTION("LET(
    target_regex, ""^5$|^5-3$|^1-2$|^2-2$|^4-3$"",
    IF(REGEXMATCH(TO_TEXT(S56), target_regex),
        IF(R56=""2-1"", 0.5,
        IF(REGEXMATCH(TO_TEXT(R56), target_regex), 0,
            IF(Q56=""2-1"", 0.5,
            IF(REGEXMATCH(TO_TEXT(Q5"&amp;"6), target_regex), 0,
                IF(P56=""2-1"", 0.5,
                IF(REGEXMATCH(TO_TEXT(P56), target_regex), 0,
                    IF(O56=""2-1"", 0.5,
                    IF(REGEXMATCH(TO_TEXT(O56), target_regex), 0, """")
                    )"&amp;"
                ))
            ))
        )),
    """")
)*IF($F$23=""전진"", 1, 0)"),0.0)</f>
        <v>0</v>
      </c>
      <c r="T61" s="151">
        <f>IFERROR(__xludf.DUMMYFUNCTION("LET(
    target_regex, ""^5$|^5-3$|^1-2$|^2-2$|^4-3$"",
    IF(REGEXMATCH(TO_TEXT(T56), target_regex),
        IF(S56=""2-1"", 0.5,
        IF(REGEXMATCH(TO_TEXT(S56), target_regex), 0,
            IF(R56=""2-1"", 0.5,
            IF(REGEXMATCH(TO_TEXT(R5"&amp;"6), target_regex), 0,
                IF(Q56=""2-1"", 0.5,
                IF(REGEXMATCH(TO_TEXT(Q56), target_regex), 0,
                    IF(P56=""2-1"", 0.5,
                    IF(REGEXMATCH(TO_TEXT(P56), target_regex), 0, """")
                    )"&amp;"
                ))
            ))
        )),
    """")
)*IF($F$23=""전진"", 1, 0)"),0.0)</f>
        <v>0</v>
      </c>
      <c r="U61" s="151">
        <f>IFERROR(__xludf.DUMMYFUNCTION("LET(
    target_regex, ""^5$|^5-3$|^1-2$|^2-2$|^4-3$"",
    IF(REGEXMATCH(TO_TEXT(U56), target_regex),
        IF(T56=""2-1"", 0.5,
        IF(REGEXMATCH(TO_TEXT(T56), target_regex), 0,
            IF(S56=""2-1"", 0.5,
            IF(REGEXMATCH(TO_TEXT(S5"&amp;"6), target_regex), 0,
                IF(R56=""2-1"", 0.5,
                IF(REGEXMATCH(TO_TEXT(R56), target_regex), 0,
                    IF(Q56=""2-1"", 0.5,
                    IF(REGEXMATCH(TO_TEXT(Q56), target_regex), 0, """")
                    )"&amp;"
                ))
            ))
        )),
    """")
)*IF($F$23=""전진"", 1, 0)"),0.0)</f>
        <v>0</v>
      </c>
      <c r="V61" s="151">
        <f>IFERROR(__xludf.DUMMYFUNCTION("LET(
    target_regex, ""^5$|^5-3$|^1-2$|^2-2$|^4-3$"",
    IF(REGEXMATCH(TO_TEXT(V56), target_regex),
        IF(U56=""2-1"", 0.5,
        IF(REGEXMATCH(TO_TEXT(U56), target_regex), 0,
            IF(T56=""2-1"", 0.5,
            IF(REGEXMATCH(TO_TEXT(T5"&amp;"6), target_regex), 0,
                IF(S56=""2-1"", 0.5,
                IF(REGEXMATCH(TO_TEXT(S56), target_regex), 0,
                    IF(R56=""2-1"", 0.5,
                    IF(REGEXMATCH(TO_TEXT(R56), target_regex), 0, """")
                    )"&amp;"
                ))
            ))
        )),
    """")
)*IF($F$23=""전진"", 1, 0)"),0.0)</f>
        <v>0</v>
      </c>
      <c r="W61" s="151">
        <f>IFERROR(__xludf.DUMMYFUNCTION("LET(
    target_regex, ""^5$|^5-3$|^1-2$|^2-2$|^4-3$"",
    IF(REGEXMATCH(TO_TEXT(W56), target_regex),
        IF(V56=""2-1"", 0.5,
        IF(REGEXMATCH(TO_TEXT(V56), target_regex), 0,
            IF(U56=""2-1"", 0.5,
            IF(REGEXMATCH(TO_TEXT(U5"&amp;"6), target_regex), 0,
                IF(T56=""2-1"", 0.5,
                IF(REGEXMATCH(TO_TEXT(T56), target_regex), 0,
                    IF(S56=""2-1"", 0.5,
                    IF(REGEXMATCH(TO_TEXT(S56), target_regex), 0, """")
                    )"&amp;"
                ))
            ))
        )),
    """")
)*IF($F$23=""전진"", 1, 0)"),0.0)</f>
        <v>0</v>
      </c>
      <c r="X61" s="151">
        <f>IFERROR(__xludf.DUMMYFUNCTION("LET(
    target_regex, ""^5$|^5-3$|^1-2$|^2-2$|^4-3$"",
    IF(REGEXMATCH(TO_TEXT(X56), target_regex),
        IF(W56=""2-1"", 0.5,
        IF(REGEXMATCH(TO_TEXT(W56), target_regex), 0,
            IF(V56=""2-1"", 0.5,
            IF(REGEXMATCH(TO_TEXT(V5"&amp;"6), target_regex), 0,
                IF(U56=""2-1"", 0.5,
                IF(REGEXMATCH(TO_TEXT(U56), target_regex), 0,
                    IF(T56=""2-1"", 0.5,
                    IF(REGEXMATCH(TO_TEXT(T56), target_regex), 0, """")
                    )"&amp;"
                ))
            ))
        )),
    """")
)*IF($F$23=""전진"", 1, 0)"),0.0)</f>
        <v>0</v>
      </c>
      <c r="Y61" s="151">
        <f>IFERROR(__xludf.DUMMYFUNCTION("LET(
    target_regex, ""^5$|^5-3$|^1-2$|^2-2$|^4-3$"",
    IF(REGEXMATCH(TO_TEXT(Y56), target_regex),
        IF(X56=""2-1"", 0.5,
        IF(REGEXMATCH(TO_TEXT(X56), target_regex), 0,
            IF(W56=""2-1"", 0.5,
            IF(REGEXMATCH(TO_TEXT(W5"&amp;"6), target_regex), 0,
                IF(V56=""2-1"", 0.5,
                IF(REGEXMATCH(TO_TEXT(V56), target_regex), 0,
                    IF(U56=""2-1"", 0.5,
                    IF(REGEXMATCH(TO_TEXT(U56), target_regex), 0, """")
                    )"&amp;"
                ))
            ))
        )),
    """")
)*IF($F$23=""전진"", 1, 0)"),0.0)</f>
        <v>0</v>
      </c>
      <c r="Z61" s="151">
        <f>IFERROR(__xludf.DUMMYFUNCTION("LET(
    target_regex, ""^5$|^5-3$|^1-2$|^2-2$|^4-3$"",
    IF(REGEXMATCH(TO_TEXT(Z56), target_regex),
        IF(Y56=""2-1"", 0.5,
        IF(REGEXMATCH(TO_TEXT(Y56), target_regex), 0,
            IF(X56=""2-1"", 0.5,
            IF(REGEXMATCH(TO_TEXT(X5"&amp;"6), target_regex), 0,
                IF(W56=""2-1"", 0.5,
                IF(REGEXMATCH(TO_TEXT(W56), target_regex), 0,
                    IF(V56=""2-1"", 0.5,
                    IF(REGEXMATCH(TO_TEXT(V56), target_regex), 0, """")
                    )"&amp;"
                ))
            ))
        )),
    """")
)*IF($F$23=""전진"", 1, 0)"),0.0)</f>
        <v>0</v>
      </c>
      <c r="AA61" s="151">
        <f>IFERROR(__xludf.DUMMYFUNCTION("LET(
    target_regex, ""^5$|^5-3$|^1-2$|^2-2$|^4-3$"",
    IF(REGEXMATCH(TO_TEXT(AA56), target_regex),
        IF(Z56=""2-1"", 0.5,
        IF(REGEXMATCH(TO_TEXT(Z56), target_regex), 0,
            IF(Y56=""2-1"", 0.5,
            IF(REGEXMATCH(TO_TEXT(Y"&amp;"56), target_regex), 0,
                IF(X56=""2-1"", 0.5,
                IF(REGEXMATCH(TO_TEXT(X56), target_regex), 0,
                    IF(W56=""2-1"", 0.5,
                    IF(REGEXMATCH(TO_TEXT(W56), target_regex), 0, """")
                    "&amp;")
                ))
            ))
        )),
    """")
)*IF($F$23=""전진"", 1, 0)"),0.0)</f>
        <v>0</v>
      </c>
      <c r="AB61" s="151">
        <f>IFERROR(__xludf.DUMMYFUNCTION("LET(
    target_regex, ""^5$|^5-3$|^1-2$|^2-2$|^4-3$"",
    IF(REGEXMATCH(TO_TEXT(AB56), target_regex),
        IF(AA56=""2-1"", 0.5,
        IF(REGEXMATCH(TO_TEXT(AA56), target_regex), 0,
            IF(Z56=""2-1"", 0.5,
            IF(REGEXMATCH(TO_TEXT"&amp;"(Z56), target_regex), 0,
                IF(Y56=""2-1"", 0.5,
                IF(REGEXMATCH(TO_TEXT(Y56), target_regex), 0,
                    IF(X56=""2-1"", 0.5,
                    IF(REGEXMATCH(TO_TEXT(X56), target_regex), 0, """")
                  "&amp;"  )
                ))
            ))
        )),
    """")
)*IF($F$23=""전진"", 1, 0)"),0.0)</f>
        <v>0</v>
      </c>
      <c r="AC61" s="151">
        <f>IFERROR(__xludf.DUMMYFUNCTION("LET(
    target_regex, ""^5$|^5-3$|^1-2$|^2-2$|^4-3$"",
    IF(REGEXMATCH(TO_TEXT(AC56), target_regex),
        IF(AB56=""2-1"", 0.5,
        IF(REGEXMATCH(TO_TEXT(AB56), target_regex), 0,
            IF(AA56=""2-1"", 0.5,
            IF(REGEXMATCH(TO_TEX"&amp;"T(AA56), target_regex), 0,
                IF(Z56=""2-1"", 0.5,
                IF(REGEXMATCH(TO_TEXT(Z56), target_regex), 0,
                    IF(Y56=""2-1"", 0.5,
                    IF(REGEXMATCH(TO_TEXT(Y56), target_regex), 0, """")
                "&amp;"    )
                ))
            ))
        )),
    """")
)*IF($F$23=""전진"", 1, 0)"),0.0)</f>
        <v>0</v>
      </c>
      <c r="AD61" s="151">
        <f>IFERROR(__xludf.DUMMYFUNCTION("LET(
    target_regex, ""^5$|^5-3$|^1-2$|^2-2$|^4-3$"",
    IF(REGEXMATCH(TO_TEXT(AD56), target_regex),
        IF(AC56=""2-1"", 0.5,
        IF(REGEXMATCH(TO_TEXT(AC56), target_regex), 0,
            IF(AB56=""2-1"", 0.5,
            IF(REGEXMATCH(TO_TEX"&amp;"T(AB56), target_regex), 0,
                IF(AA56=""2-1"", 0.5,
                IF(REGEXMATCH(TO_TEXT(AA56), target_regex), 0,
                    IF(Z56=""2-1"", 0.5,
                    IF(REGEXMATCH(TO_TEXT(Z56), target_regex), 0, """")
              "&amp;"      )
                ))
            ))
        )),
    """")
)*IF($F$23=""전진"", 1, 0)"),0.0)</f>
        <v>0</v>
      </c>
      <c r="AE61" s="151">
        <f>IFERROR(__xludf.DUMMYFUNCTION("LET(
    target_regex, ""^5$|^5-3$|^1-2$|^2-2$|^4-3$"",
    IF(REGEXMATCH(TO_TEXT(AE56), target_regex),
        IF(AD56=""2-1"", 0.5,
        IF(REGEXMATCH(TO_TEXT(AD56), target_regex), 0,
            IF(AC56=""2-1"", 0.5,
            IF(REGEXMATCH(TO_TEX"&amp;"T(AC56), target_regex), 0,
                IF(AB56=""2-1"", 0.5,
                IF(REGEXMATCH(TO_TEXT(AB56), target_regex), 0,
                    IF(AA56=""2-1"", 0.5,
                    IF(REGEXMATCH(TO_TEXT(AA56), target_regex), 0, """")
            "&amp;"        )
                ))
            ))
        )),
    """")
)*IF($F$23=""전진"", 1, 0)"),0.0)</f>
        <v>0</v>
      </c>
      <c r="AF61" s="151">
        <f>IFERROR(__xludf.DUMMYFUNCTION("LET(
    target_regex, ""^5$|^5-3$|^1-2$|^2-2$|^4-3$"",
    IF(REGEXMATCH(TO_TEXT(AF56), target_regex),
        IF(AE56=""2-1"", 0.5,
        IF(REGEXMATCH(TO_TEXT(AE56), target_regex), 0,
            IF(AD56=""2-1"", 0.5,
            IF(REGEXMATCH(TO_TEX"&amp;"T(AD56), target_regex), 0,
                IF(AC56=""2-1"", 0.5,
                IF(REGEXMATCH(TO_TEXT(AC56), target_regex), 0,
                    IF(AB56=""2-1"", 0.5,
                    IF(REGEXMATCH(TO_TEXT(AB56), target_regex), 0, """")
            "&amp;"        )
                ))
            ))
        )),
    """")
)*IF($F$23=""전진"", 1, 0)"),0.0)</f>
        <v>0</v>
      </c>
      <c r="AG61" s="151">
        <f>IFERROR(__xludf.DUMMYFUNCTION("LET(
    target_regex, ""^5$|^5-3$|^1-2$|^2-2$|^4-3$"",
    IF(REGEXMATCH(TO_TEXT(AG56), target_regex),
        IF(AF56=""2-1"", 0.5,
        IF(REGEXMATCH(TO_TEXT(AF56), target_regex), 0,
            IF(AE56=""2-1"", 0.5,
            IF(REGEXMATCH(TO_TEX"&amp;"T(AE56), target_regex), 0,
                IF(AD56=""2-1"", 0.5,
                IF(REGEXMATCH(TO_TEXT(AD56), target_regex), 0,
                    IF(AC56=""2-1"", 0.5,
                    IF(REGEXMATCH(TO_TEXT(AC56), target_regex), 0, """")
            "&amp;"        )
                ))
            ))
        )),
    """")
)*IF($F$23=""전진"", 1, 0)"),0.0)</f>
        <v>0</v>
      </c>
      <c r="AH61" s="151">
        <f>IFERROR(__xludf.DUMMYFUNCTION("LET(
    target_regex, ""^5$|^5-3$|^1-2$|^2-2$|^4-3$"",
    IF(REGEXMATCH(TO_TEXT(AH56), target_regex),
        IF(AG56=""2-1"", 0.5,
        IF(REGEXMATCH(TO_TEXT(AG56), target_regex), 0,
            IF(AF56=""2-1"", 0.5,
            IF(REGEXMATCH(TO_TEX"&amp;"T(AF56), target_regex), 0,
                IF(AE56=""2-1"", 0.5,
                IF(REGEXMATCH(TO_TEXT(AE56), target_regex), 0,
                    IF(AD56=""2-1"", 0.5,
                    IF(REGEXMATCH(TO_TEXT(AD56), target_regex), 0, """")
            "&amp;"        )
                ))
            ))
        )),
    """")
)*IF($F$23=""전진"", 1, 0)"),0.0)</f>
        <v>0</v>
      </c>
      <c r="AI61" s="62"/>
      <c r="AJ61" s="62"/>
      <c r="AK61" s="62" t="s">
        <v>473</v>
      </c>
    </row>
    <row r="62">
      <c r="A62" s="1"/>
      <c r="B62" s="1"/>
      <c r="C62" s="151">
        <f t="shared" ref="C62:AH62" si="24">IF(AND(B56="3", C56&lt;&gt;"3"), 0.5, "")</f>
        <v>0.5</v>
      </c>
      <c r="D62" s="1" t="str">
        <f t="shared" si="24"/>
        <v/>
      </c>
      <c r="E62" s="1" t="str">
        <f t="shared" si="24"/>
        <v/>
      </c>
      <c r="F62" s="151" t="str">
        <f t="shared" si="24"/>
        <v/>
      </c>
      <c r="G62" s="1" t="str">
        <f t="shared" si="24"/>
        <v/>
      </c>
      <c r="H62" s="1" t="str">
        <f t="shared" si="24"/>
        <v/>
      </c>
      <c r="I62" s="1">
        <f t="shared" si="24"/>
        <v>0.5</v>
      </c>
      <c r="J62" s="151" t="str">
        <f t="shared" si="24"/>
        <v/>
      </c>
      <c r="K62" s="1" t="str">
        <f t="shared" si="24"/>
        <v/>
      </c>
      <c r="L62" s="1" t="str">
        <f t="shared" si="24"/>
        <v/>
      </c>
      <c r="M62" s="151" t="str">
        <f t="shared" si="24"/>
        <v/>
      </c>
      <c r="N62" s="1" t="str">
        <f t="shared" si="24"/>
        <v/>
      </c>
      <c r="O62" s="1" t="str">
        <f t="shared" si="24"/>
        <v/>
      </c>
      <c r="P62" s="1" t="str">
        <f t="shared" si="24"/>
        <v/>
      </c>
      <c r="Q62" s="1" t="str">
        <f t="shared" si="24"/>
        <v/>
      </c>
      <c r="R62" s="1" t="str">
        <f t="shared" si="24"/>
        <v/>
      </c>
      <c r="S62" s="1" t="str">
        <f t="shared" si="24"/>
        <v/>
      </c>
      <c r="T62" s="1" t="str">
        <f t="shared" si="24"/>
        <v/>
      </c>
      <c r="U62" s="1" t="str">
        <f t="shared" si="24"/>
        <v/>
      </c>
      <c r="V62" s="1" t="str">
        <f t="shared" si="24"/>
        <v/>
      </c>
      <c r="W62" s="1" t="str">
        <f t="shared" si="24"/>
        <v/>
      </c>
      <c r="X62" s="1" t="str">
        <f t="shared" si="24"/>
        <v/>
      </c>
      <c r="Y62" s="1" t="str">
        <f t="shared" si="24"/>
        <v/>
      </c>
      <c r="Z62" s="1" t="str">
        <f t="shared" si="24"/>
        <v/>
      </c>
      <c r="AA62" s="1" t="str">
        <f t="shared" si="24"/>
        <v/>
      </c>
      <c r="AB62" s="1" t="str">
        <f t="shared" si="24"/>
        <v/>
      </c>
      <c r="AC62" s="1" t="str">
        <f t="shared" si="24"/>
        <v/>
      </c>
      <c r="AD62" s="1" t="str">
        <f t="shared" si="24"/>
        <v/>
      </c>
      <c r="AE62" s="1" t="str">
        <f t="shared" si="24"/>
        <v/>
      </c>
      <c r="AF62" s="1" t="str">
        <f t="shared" si="24"/>
        <v/>
      </c>
      <c r="AG62" s="1" t="str">
        <f t="shared" si="24"/>
        <v/>
      </c>
      <c r="AH62" s="1" t="str">
        <f t="shared" si="24"/>
        <v/>
      </c>
      <c r="AI62" s="62"/>
      <c r="AJ62" s="62"/>
      <c r="AK62" s="62" t="s">
        <v>474</v>
      </c>
    </row>
    <row r="63">
      <c r="A63" s="1"/>
      <c r="B63" s="1"/>
      <c r="C63" s="257">
        <f>'종합'!$K$9</f>
        <v>0.3959952941</v>
      </c>
      <c r="D63" s="257">
        <f>'종합'!$K$9</f>
        <v>0.3959952941</v>
      </c>
      <c r="E63" s="257">
        <f>'종합'!$K$9</f>
        <v>0.3959952941</v>
      </c>
      <c r="F63" s="257">
        <f>'종합'!$K$9</f>
        <v>0.3959952941</v>
      </c>
      <c r="G63" s="257">
        <f>'종합'!$K$9</f>
        <v>0.3959952941</v>
      </c>
      <c r="H63" s="257">
        <f>'종합'!$K$9</f>
        <v>0.3959952941</v>
      </c>
      <c r="I63" s="257">
        <f>'종합'!$K$9</f>
        <v>0.3959952941</v>
      </c>
      <c r="J63" s="257">
        <f>'종합'!$K$9</f>
        <v>0.3959952941</v>
      </c>
      <c r="K63" s="257">
        <f>'종합'!$K$9</f>
        <v>0.3959952941</v>
      </c>
      <c r="L63" s="257">
        <f>'종합'!$K$9</f>
        <v>0.3959952941</v>
      </c>
      <c r="M63" s="257">
        <f>'종합'!$K$9</f>
        <v>0.3959952941</v>
      </c>
      <c r="N63" s="257">
        <f>'종합'!$K$9</f>
        <v>0.3959952941</v>
      </c>
      <c r="O63" s="257">
        <f>'종합'!$K$9</f>
        <v>0.3959952941</v>
      </c>
      <c r="P63" s="257">
        <f>'종합'!$K$9</f>
        <v>0.3959952941</v>
      </c>
      <c r="Q63" s="257">
        <f>'종합'!$K$9</f>
        <v>0.3959952941</v>
      </c>
      <c r="R63" s="257">
        <f>'종합'!$K$9</f>
        <v>0.3959952941</v>
      </c>
      <c r="S63" s="257">
        <f>'종합'!$K$9</f>
        <v>0.3959952941</v>
      </c>
      <c r="T63" s="257">
        <f>'종합'!$K$9</f>
        <v>0.3959952941</v>
      </c>
      <c r="U63" s="257">
        <f>'종합'!$K$9</f>
        <v>0.3959952941</v>
      </c>
      <c r="V63" s="257">
        <f>'종합'!$K$9</f>
        <v>0.3959952941</v>
      </c>
      <c r="W63" s="257">
        <f>'종합'!$K$9</f>
        <v>0.3959952941</v>
      </c>
      <c r="X63" s="257">
        <f>'종합'!$K$9</f>
        <v>0.3959952941</v>
      </c>
      <c r="Y63" s="257">
        <f>'종합'!$K$9</f>
        <v>0.3959952941</v>
      </c>
      <c r="Z63" s="257">
        <f>'종합'!$K$9</f>
        <v>0.3959952941</v>
      </c>
      <c r="AA63" s="257">
        <f>'종합'!$K$9</f>
        <v>0.3959952941</v>
      </c>
      <c r="AB63" s="257">
        <f>'종합'!$K$9</f>
        <v>0.3959952941</v>
      </c>
      <c r="AC63" s="257">
        <f>'종합'!$K$9</f>
        <v>0.3959952941</v>
      </c>
      <c r="AD63" s="257">
        <f>'종합'!$K$9</f>
        <v>0.3959952941</v>
      </c>
      <c r="AE63" s="257">
        <f>'종합'!$K$9</f>
        <v>0.3959952941</v>
      </c>
      <c r="AF63" s="257">
        <f>'종합'!$K$9</f>
        <v>0.3959952941</v>
      </c>
      <c r="AG63" s="257">
        <f>'종합'!$K$9</f>
        <v>0.3959952941</v>
      </c>
      <c r="AH63" s="257">
        <f>'종합'!$K$9</f>
        <v>0.3959952941</v>
      </c>
      <c r="AI63" s="260"/>
      <c r="AJ63" s="62"/>
      <c r="AK63" s="62" t="s">
        <v>235</v>
      </c>
    </row>
    <row r="64">
      <c r="A64" s="1"/>
      <c r="B64" s="1"/>
      <c r="C64" s="257">
        <f>IF($B$23="약점", '종합'!$K$10, '종합'!$K$10*IF(C56="1-1",$AA$3,1))</f>
        <v>0.6300863529</v>
      </c>
      <c r="D64" s="257">
        <f>IF($B$23="약점", '종합'!$K$10, '종합'!$K$10*IF(D56="1-1",$AA$3,1))</f>
        <v>0.6300863529</v>
      </c>
      <c r="E64" s="257">
        <f>IF($B$23="약점", '종합'!$K$10, '종합'!$K$10*IF(E56="1-1",$AA$3,1))</f>
        <v>0.6300863529</v>
      </c>
      <c r="F64" s="257">
        <f>IF($B$23="약점", '종합'!$K$10, '종합'!$K$10*IF(F56="1-1",$AA$3,1))</f>
        <v>0.6300863529</v>
      </c>
      <c r="G64" s="257">
        <f>IF($B$23="약점", '종합'!$K$10, '종합'!$K$10*IF(G56="1-1",$AA$3,1))</f>
        <v>0.6300863529</v>
      </c>
      <c r="H64" s="257">
        <f>IF($B$23="약점", '종합'!$K$10, '종합'!$K$10*IF(H56="1-1",$AA$3,1))</f>
        <v>0.6300863529</v>
      </c>
      <c r="I64" s="257">
        <f>IF($B$23="약점", '종합'!$K$10, '종합'!$K$10*IF(I56="1-1",$AA$3,1))</f>
        <v>0.6300863529</v>
      </c>
      <c r="J64" s="257">
        <f>IF($B$23="약점", '종합'!$K$10, '종합'!$K$10*IF(J56="1-1",$AA$3,1))</f>
        <v>0.6300863529</v>
      </c>
      <c r="K64" s="257">
        <f>IF($B$23="약점", '종합'!$K$10, '종합'!$K$10*IF(K56="1-1",$AA$3,1))</f>
        <v>0.6300863529</v>
      </c>
      <c r="L64" s="257">
        <f>IF($B$23="약점", '종합'!$K$10, '종합'!$K$10*IF(L56="1-1",$AA$3,1))</f>
        <v>0.6300863529</v>
      </c>
      <c r="M64" s="257">
        <f>IF($B$23="약점", '종합'!$K$10, '종합'!$K$10*IF(M56="1-1",$AA$3,1))</f>
        <v>0.6300863529</v>
      </c>
      <c r="N64" s="257">
        <f>IF($B$23="약점", '종합'!$K$10, '종합'!$K$10*IF(N56="1-1",$AA$3,1))</f>
        <v>0.6300863529</v>
      </c>
      <c r="O64" s="257">
        <f>IF($B$23="약점", '종합'!$K$10, '종합'!$K$10*IF(O56="1-1",$AA$3,1))</f>
        <v>0.6300863529</v>
      </c>
      <c r="P64" s="257">
        <f>IF($B$23="약점", '종합'!$K$10, '종합'!$K$10*IF(P56="1-1",$AA$3,1))</f>
        <v>0.6300863529</v>
      </c>
      <c r="Q64" s="257">
        <f>IF($B$23="약점", '종합'!$K$10, '종합'!$K$10*IF(Q56="1-1",$AA$3,1))</f>
        <v>0.6300863529</v>
      </c>
      <c r="R64" s="257">
        <f>IF($B$23="약점", '종합'!$K$10, '종합'!$K$10*IF(R56="1-1",$AA$3,1))</f>
        <v>0.6300863529</v>
      </c>
      <c r="S64" s="257">
        <f>IF($B$23="약점", '종합'!$K$10, '종합'!$K$10*IF(S56="1-1",$AA$3,1))</f>
        <v>0.6300863529</v>
      </c>
      <c r="T64" s="257">
        <f>IF($B$23="약점", '종합'!$K$10, '종합'!$K$10*IF(T56="1-1",$AA$3,1))</f>
        <v>0.6300863529</v>
      </c>
      <c r="U64" s="257">
        <f>IF($B$23="약점", '종합'!$K$10, '종합'!$K$10*IF(U56="1-1",$AA$3,1))</f>
        <v>0.6300863529</v>
      </c>
      <c r="V64" s="257">
        <f>IF($B$23="약점", '종합'!$K$10, '종합'!$K$10*IF(V56="1-1",$AA$3,1))</f>
        <v>0.6300863529</v>
      </c>
      <c r="W64" s="257">
        <f>IF($B$23="약점", '종합'!$K$10, '종합'!$K$10*IF(W56="1-1",$AA$3,1))</f>
        <v>0.6300863529</v>
      </c>
      <c r="X64" s="257">
        <f>IF($B$23="약점", '종합'!$K$10, '종합'!$K$10*IF(X56="1-1",$AA$3,1))</f>
        <v>0.6300863529</v>
      </c>
      <c r="Y64" s="257">
        <f>IF($B$23="약점", '종합'!$K$10, '종합'!$K$10*IF(Y56="1-1",$AA$3,1))</f>
        <v>0.6300863529</v>
      </c>
      <c r="Z64" s="257">
        <f>IF($B$23="약점", '종합'!$K$10, '종합'!$K$10*IF(Z56="1-1",$AA$3,1))</f>
        <v>0.6300863529</v>
      </c>
      <c r="AA64" s="257">
        <f>IF($B$23="약점", '종합'!$K$10, '종합'!$K$10*IF(AA56="1-1",$AA$3,1))</f>
        <v>0.6300863529</v>
      </c>
      <c r="AB64" s="257">
        <f>IF($B$23="약점", '종합'!$K$10, '종합'!$K$10*IF(AB56="1-1",$AA$3,1))</f>
        <v>0.6300863529</v>
      </c>
      <c r="AC64" s="257">
        <f>IF($B$23="약점", '종합'!$K$10, '종합'!$K$10*IF(AC56="1-1",$AA$3,1))</f>
        <v>0.6300863529</v>
      </c>
      <c r="AD64" s="257">
        <f>IF($B$23="약점", '종합'!$K$10, '종합'!$K$10*IF(AD56="1-1",$AA$3,1))</f>
        <v>0.6300863529</v>
      </c>
      <c r="AE64" s="257">
        <f>IF($B$23="약점", '종합'!$K$10, '종합'!$K$10*IF(AE56="1-1",$AA$3,1))</f>
        <v>0.6300863529</v>
      </c>
      <c r="AF64" s="257">
        <f>IF($B$23="약점", '종합'!$K$10, '종합'!$K$10*IF(AF56="1-1",$AA$3,1))</f>
        <v>0.6300863529</v>
      </c>
      <c r="AG64" s="257">
        <f>IF($B$23="약점", '종합'!$K$10, '종합'!$K$10*IF(AG56="1-1",$AA$3,1))</f>
        <v>0.6300863529</v>
      </c>
      <c r="AH64" s="257">
        <f>IF($B$23="약점", '종합'!$K$10, '종합'!$K$10*IF(AH56="1-1",$AA$3,1))</f>
        <v>0.6300863529</v>
      </c>
      <c r="AI64" s="260"/>
      <c r="AJ64" s="62"/>
      <c r="AK64" s="62" t="s">
        <v>236</v>
      </c>
    </row>
    <row r="65">
      <c r="A65" s="1"/>
      <c r="B65" s="1"/>
      <c r="C65" s="254">
        <f t="array" ref="C65">OFFSET(INDEX($24:$24, MATCH(C56, $24:$24, 0)), 2, 0)*(1-('종합'!$K$21+if('방어구룬'!$B$20=true,0.24,0)))</f>
        <v>1.254176</v>
      </c>
      <c r="D65" s="254">
        <f t="array" ref="D65">OFFSET(INDEX($24:$24, MATCH(D56, $24:$24, 0)), 2, 0)*(1-('종합'!$K$21+if('방어구룬'!$B$20=true,0.24,0)))</f>
        <v>1.164592</v>
      </c>
      <c r="E65" s="254">
        <f t="array" ref="E65">OFFSET(INDEX($24:$24, MATCH(E56, $24:$24, 0)), 2, 0)*(1-('종합'!$K$21+if('방어구룬'!$B$20=true,0.24,0)))</f>
        <v>0.89584</v>
      </c>
      <c r="F65" s="254">
        <f t="array" ref="F65">OFFSET(INDEX($24:$24, MATCH(F56, $24:$24, 0)), 2, 0)*(1-('종합'!$K$21+if('방어구룬'!$B$20=true,0.24,0)))</f>
        <v>1.164592</v>
      </c>
      <c r="G65" s="254">
        <f t="array" ref="G65">OFFSET(INDEX($24:$24, MATCH(G56, $24:$24, 0)), 2, 0)*(1-('종합'!$K$21+if('방어구룬'!$B$20=true,0.24,0)))</f>
        <v>0.89584</v>
      </c>
      <c r="H65" s="254">
        <f t="array" ref="H65">OFFSET(INDEX($24:$24, MATCH(H56, $24:$24, 0)), 2, 0)*(1-('종합'!$K$21+if('방어구룬'!$B$20=true,0.24,0)))</f>
        <v>0.761464</v>
      </c>
      <c r="I65" s="254">
        <f t="array" ref="I65">OFFSET(INDEX($24:$24, MATCH(I56, $24:$24, 0)), 2, 0)*(1-('종합'!$K$21+if('방어구룬'!$B$20=true,0.24,0)))</f>
        <v>1.254176</v>
      </c>
      <c r="J65" s="254">
        <f t="array" ref="J65">OFFSET(INDEX($24:$24, MATCH(J56, $24:$24, 0)), 2, 0)*(1-('종합'!$K$21+if('방어구룬'!$B$20=true,0.24,0)))</f>
        <v>1.164592</v>
      </c>
      <c r="K65" s="254">
        <f t="array" ref="K65">OFFSET(INDEX($24:$24, MATCH(K56, $24:$24, 0)), 2, 0)*(1-('종합'!$K$21+if('방어구룬'!$B$20=true,0.24,0)))</f>
        <v>0.89584</v>
      </c>
      <c r="L65" s="254">
        <f t="array" ref="L65">OFFSET(INDEX($24:$24, MATCH(L56, $24:$24, 0)), 2, 0)*(1-('종합'!$K$21+if('방어구룬'!$B$20=true,0.24,0)))</f>
        <v>1.164592</v>
      </c>
      <c r="M65" s="254">
        <f t="array" ref="M65">OFFSET(INDEX($24:$24, MATCH(M56, $24:$24, 0)), 2, 0)*(1-('종합'!$K$21+if('방어구룬'!$B$20=true,0.24,0)))</f>
        <v>0</v>
      </c>
      <c r="N65" s="254">
        <f t="array" ref="N65">OFFSET(INDEX($24:$24, MATCH(N56, $24:$24, 0)), 2, 0)*(1-('종합'!$K$21+if('방어구룬'!$B$20=true,0.24,0)))</f>
        <v>0</v>
      </c>
      <c r="O65" s="254">
        <f t="array" ref="O65">OFFSET(INDEX($24:$24, MATCH(O56, $24:$24, 0)), 2, 0)*(1-('종합'!$K$21+if('방어구룬'!$B$20=true,0.24,0)))</f>
        <v>0</v>
      </c>
      <c r="P65" s="254">
        <f t="array" ref="P65">OFFSET(INDEX($24:$24, MATCH(P56, $24:$24, 0)), 2, 0)*(1-('종합'!$K$21+if('방어구룬'!$B$20=true,0.24,0)))</f>
        <v>0</v>
      </c>
      <c r="Q65" s="254">
        <f t="array" ref="Q65">OFFSET(INDEX($24:$24, MATCH(Q56, $24:$24, 0)), 2, 0)*(1-('종합'!$K$21+if('방어구룬'!$B$20=true,0.24,0)))</f>
        <v>0</v>
      </c>
      <c r="R65" s="254">
        <f t="array" ref="R65">OFFSET(INDEX($24:$24, MATCH(R56, $24:$24, 0)), 2, 0)*(1-('종합'!$K$21+if('방어구룬'!$B$20=true,0.24,0)))</f>
        <v>0</v>
      </c>
      <c r="S65" s="254">
        <f t="array" ref="S65">OFFSET(INDEX($24:$24, MATCH(S56, $24:$24, 0)), 2, 0)*(1-('종합'!$K$21+if('방어구룬'!$B$20=true,0.24,0)))</f>
        <v>0</v>
      </c>
      <c r="T65" s="254">
        <f t="array" ref="T65">OFFSET(INDEX($24:$24, MATCH(T56, $24:$24, 0)), 2, 0)*(1-('종합'!$K$21+if('방어구룬'!$B$20=true,0.24,0)))</f>
        <v>0</v>
      </c>
      <c r="U65" s="254">
        <f t="array" ref="U65">OFFSET(INDEX($24:$24, MATCH(U56, $24:$24, 0)), 2, 0)*(1-('종합'!$K$21+if('방어구룬'!$B$20=true,0.24,0)))</f>
        <v>0</v>
      </c>
      <c r="V65" s="254">
        <f t="array" ref="V65">OFFSET(INDEX($24:$24, MATCH(V56, $24:$24, 0)), 2, 0)*(1-('종합'!$K$21+if('방어구룬'!$B$20=true,0.24,0)))</f>
        <v>0</v>
      </c>
      <c r="W65" s="254">
        <f t="array" ref="W65">OFFSET(INDEX($24:$24, MATCH(W56, $24:$24, 0)), 2, 0)*(1-('종합'!$K$21+if('방어구룬'!$B$20=true,0.24,0)))</f>
        <v>0</v>
      </c>
      <c r="X65" s="254">
        <f t="array" ref="X65">OFFSET(INDEX($24:$24, MATCH(X56, $24:$24, 0)), 2, 0)*(1-('종합'!$K$21+if('방어구룬'!$B$20=true,0.24,0)))</f>
        <v>0</v>
      </c>
      <c r="Y65" s="254">
        <f t="array" ref="Y65">OFFSET(INDEX($24:$24, MATCH(Y56, $24:$24, 0)), 2, 0)*(1-('종합'!$K$21+if('방어구룬'!$B$20=true,0.24,0)))</f>
        <v>0</v>
      </c>
      <c r="Z65" s="254">
        <f t="array" ref="Z65">OFFSET(INDEX($24:$24, MATCH(Z56, $24:$24, 0)), 2, 0)*(1-('종합'!$K$21+if('방어구룬'!$B$20=true,0.24,0)))</f>
        <v>0</v>
      </c>
      <c r="AA65" s="254">
        <f t="array" ref="AA65">OFFSET(INDEX($24:$24, MATCH(AA56, $24:$24, 0)), 2, 0)*(1-('종합'!$K$21+if('방어구룬'!$B$20=true,0.24,0)))</f>
        <v>0</v>
      </c>
      <c r="AB65" s="254">
        <f t="array" ref="AB65">OFFSET(INDEX($24:$24, MATCH(AB56, $24:$24, 0)), 2, 0)*(1-('종합'!$K$21+if('방어구룬'!$B$20=true,0.24,0)))</f>
        <v>0</v>
      </c>
      <c r="AC65" s="254">
        <f t="array" ref="AC65">OFFSET(INDEX($24:$24, MATCH(AC56, $24:$24, 0)), 2, 0)*(1-('종합'!$K$21+if('방어구룬'!$B$20=true,0.24,0)))</f>
        <v>0</v>
      </c>
      <c r="AD65" s="254">
        <f t="array" ref="AD65">OFFSET(INDEX($24:$24, MATCH(AD56, $24:$24, 0)), 2, 0)*(1-('종합'!$K$21+if('방어구룬'!$B$20=true,0.24,0)))</f>
        <v>0</v>
      </c>
      <c r="AE65" s="254">
        <f t="array" ref="AE65">OFFSET(INDEX($24:$24, MATCH(AE56, $24:$24, 0)), 2, 0)*(1-('종합'!$K$21+if('방어구룬'!$B$20=true,0.24,0)))</f>
        <v>0</v>
      </c>
      <c r="AF65" s="254">
        <f t="array" ref="AF65">OFFSET(INDEX($24:$24, MATCH(AF56, $24:$24, 0)), 2, 0)*(1-('종합'!$K$21+if('방어구룬'!$B$20=true,0.24,0)))</f>
        <v>0</v>
      </c>
      <c r="AG65" s="254">
        <f t="array" ref="AG65">OFFSET(INDEX($24:$24, MATCH(AG56, $24:$24, 0)), 2, 0)*(1-('종합'!$K$21+if('방어구룬'!$B$20=true,0.24,0)))</f>
        <v>0</v>
      </c>
      <c r="AH65" s="254">
        <f t="array" ref="AH65">OFFSET(INDEX($24:$24, MATCH(AH56, $24:$24, 0)), 2, 0)*(1-('종합'!$K$21+if('방어구룬'!$B$20=true,0.24,0)))</f>
        <v>0</v>
      </c>
      <c r="AI65" s="62"/>
      <c r="AJ65" s="258">
        <f>SUM(OFFSET(A65, 0, C54, 1, C54))</f>
        <v>6.136504</v>
      </c>
      <c r="AK65" s="62" t="s">
        <v>475</v>
      </c>
    </row>
    <row r="66">
      <c r="A66" s="1"/>
      <c r="B66" s="1"/>
      <c r="C66" s="151">
        <f t="shared" ref="C66:AH66" si="25">OFFSET(INDEX($24:$24, MATCH(C56, $24:$24, 0)), 4, 1)</f>
        <v>12.6344</v>
      </c>
      <c r="D66" s="1" t="str">
        <f t="shared" si="25"/>
        <v/>
      </c>
      <c r="E66" s="151">
        <f t="shared" si="25"/>
        <v>13.935</v>
      </c>
      <c r="F66" s="151" t="str">
        <f t="shared" si="25"/>
        <v/>
      </c>
      <c r="G66" s="1">
        <f t="shared" si="25"/>
        <v>13.006</v>
      </c>
      <c r="H66" s="151">
        <f t="shared" si="25"/>
        <v>9.5</v>
      </c>
      <c r="I66" s="151">
        <f t="shared" si="25"/>
        <v>12.6344</v>
      </c>
      <c r="J66" s="151" t="str">
        <f t="shared" si="25"/>
        <v/>
      </c>
      <c r="K66" s="1">
        <f t="shared" si="25"/>
        <v>13.935</v>
      </c>
      <c r="L66" s="151" t="str">
        <f t="shared" si="25"/>
        <v/>
      </c>
      <c r="M66" s="151" t="str">
        <f t="shared" si="25"/>
        <v/>
      </c>
      <c r="N66" s="1" t="str">
        <f t="shared" si="25"/>
        <v/>
      </c>
      <c r="O66" s="1" t="str">
        <f t="shared" si="25"/>
        <v/>
      </c>
      <c r="P66" s="1" t="str">
        <f t="shared" si="25"/>
        <v/>
      </c>
      <c r="Q66" s="1" t="str">
        <f t="shared" si="25"/>
        <v/>
      </c>
      <c r="R66" s="1" t="str">
        <f t="shared" si="25"/>
        <v/>
      </c>
      <c r="S66" s="1" t="str">
        <f t="shared" si="25"/>
        <v/>
      </c>
      <c r="T66" s="1" t="str">
        <f t="shared" si="25"/>
        <v/>
      </c>
      <c r="U66" s="1" t="str">
        <f t="shared" si="25"/>
        <v/>
      </c>
      <c r="V66" s="1" t="str">
        <f t="shared" si="25"/>
        <v/>
      </c>
      <c r="W66" s="1" t="str">
        <f t="shared" si="25"/>
        <v/>
      </c>
      <c r="X66" s="1" t="str">
        <f t="shared" si="25"/>
        <v/>
      </c>
      <c r="Y66" s="1" t="str">
        <f t="shared" si="25"/>
        <v/>
      </c>
      <c r="Z66" s="1" t="str">
        <f t="shared" si="25"/>
        <v/>
      </c>
      <c r="AA66" s="1" t="str">
        <f t="shared" si="25"/>
        <v/>
      </c>
      <c r="AB66" s="1" t="str">
        <f t="shared" si="25"/>
        <v/>
      </c>
      <c r="AC66" s="1" t="str">
        <f t="shared" si="25"/>
        <v/>
      </c>
      <c r="AD66" s="1" t="str">
        <f t="shared" si="25"/>
        <v/>
      </c>
      <c r="AE66" s="1" t="str">
        <f t="shared" si="25"/>
        <v/>
      </c>
      <c r="AF66" s="1" t="str">
        <f t="shared" si="25"/>
        <v/>
      </c>
      <c r="AG66" s="1" t="str">
        <f t="shared" si="25"/>
        <v/>
      </c>
      <c r="AH66" s="1" t="str">
        <f t="shared" si="25"/>
        <v/>
      </c>
      <c r="AI66" s="62"/>
      <c r="AJ66" s="258">
        <f>max(OFFSET(A66, 0, C54, 1, C54))-IF('방어구룬'!B$52=TRUE, 2.1*C32/'방어구룬'!$C$52, 0)</f>
        <v>13.935</v>
      </c>
      <c r="AK66" s="62" t="s">
        <v>458</v>
      </c>
    </row>
    <row r="67">
      <c r="A67" s="25" t="s">
        <v>476</v>
      </c>
      <c r="B67" s="1"/>
      <c r="C67" s="257">
        <f>(sum(C60:C62)+'종합'!$K$7+'종합'!$K$15+'종합'!$C$8/100+IF(AND('방어구룬'!$B$39=TRUE, OR(C56="2-1", C56="4-1", C56="4-3")), 0.24, "")+IF(AND('엠블럼룬'!$B$8=TRUE, $B$23&lt;&gt;"약점", C56="1-1"), 0.14, ""))</f>
        <v>1.405529412</v>
      </c>
      <c r="D67" s="257">
        <f>(sum(D60:D62)+'종합'!$K$7+'종합'!$K$15+'종합'!$C$8/100+IF(AND('방어구룬'!$B$39=TRUE, OR(D56="2-1", D56="4-1", D56="4-3")), 0.24, "")+IF(AND('엠블럼룬'!$B$8=TRUE, $B$23&lt;&gt;"약점", D56="1-1"), 0.14, ""))</f>
        <v>0.4055294118</v>
      </c>
      <c r="E67" s="257">
        <f>(sum(E60:E62)+'종합'!$K$7+'종합'!$K$15+'종합'!$C$8/100+IF(AND('방어구룬'!$B$39=TRUE, OR(E56="2-1", E56="4-1", E56="4-3")), 0.24, "")+IF(AND('엠블럼룬'!$B$8=TRUE, $B$23&lt;&gt;"약점", E56="1-1"), 0.14, ""))</f>
        <v>0.4055294118</v>
      </c>
      <c r="F67" s="257">
        <f>(sum(F60:F62)+'종합'!$K$7+'종합'!$K$15+'종합'!$C$8/100+IF(AND('방어구룬'!$B$39=TRUE, OR(F56="2-1", F56="4-1", F56="4-3")), 0.24, "")+IF(AND('엠블럼룬'!$B$8=TRUE, $B$23&lt;&gt;"약점", F56="1-1"), 0.14, ""))</f>
        <v>0.4055294118</v>
      </c>
      <c r="G67" s="257">
        <f>(sum(G60:G62)+'종합'!$K$7+'종합'!$K$15+'종합'!$C$8/100+IF(AND('방어구룬'!$B$39=TRUE, OR(G56="2-1", G56="4-1", G56="4-3")), 0.24, "")+IF(AND('엠블럼룬'!$B$8=TRUE, $B$23&lt;&gt;"약점", G56="1-1"), 0.14, ""))</f>
        <v>0.4055294118</v>
      </c>
      <c r="H67" s="257">
        <f>(sum(H60:H62)+'종합'!$K$7+'종합'!$K$15+'종합'!$C$8/100+IF(AND('방어구룬'!$B$39=TRUE, OR(H56="2-1", H56="4-1", H56="4-3")), 0.24, "")+IF(AND('엠블럼룬'!$B$8=TRUE, $B$23&lt;&gt;"약점", H56="1-1"), 0.14, ""))</f>
        <v>0.2555294118</v>
      </c>
      <c r="I67" s="257">
        <f>(sum(I60:I62)+'종합'!$K$7+'종합'!$K$15+'종합'!$C$8/100+IF(AND('방어구룬'!$B$39=TRUE, OR(I56="2-1", I56="4-1", I56="4-3")), 0.24, "")+IF(AND('엠블럼룬'!$B$8=TRUE, $B$23&lt;&gt;"약점", I56="1-1"), 0.14, ""))</f>
        <v>1.405529412</v>
      </c>
      <c r="J67" s="257">
        <f>(sum(J60:J62)+'종합'!$K$7+'종합'!$K$15+'종합'!$C$8/100+IF(AND('방어구룬'!$B$39=TRUE, OR(J56="2-1", J56="4-1", J56="4-3")), 0.24, "")+IF(AND('엠블럼룬'!$B$8=TRUE, $B$23&lt;&gt;"약점", J56="1-1"), 0.14, ""))</f>
        <v>0.4055294118</v>
      </c>
      <c r="K67" s="257">
        <f>(sum(K60:K62)+'종합'!$K$7+'종합'!$K$15+'종합'!$C$8/100+IF(AND('방어구룬'!$B$39=TRUE, OR(K56="2-1", K56="4-1", K56="4-3")), 0.24, "")+IF(AND('엠블럼룬'!$B$8=TRUE, $B$23&lt;&gt;"약점", K56="1-1"), 0.14, ""))</f>
        <v>0.4055294118</v>
      </c>
      <c r="L67" s="257">
        <f>(sum(L60:L62)+'종합'!$K$7+'종합'!$K$15+'종합'!$C$8/100+IF(AND('방어구룬'!$B$39=TRUE, OR(L56="2-1", L56="4-1", L56="4-3")), 0.24, "")+IF(AND('엠블럼룬'!$B$8=TRUE, $B$23&lt;&gt;"약점", L56="1-1"), 0.14, ""))</f>
        <v>0.4055294118</v>
      </c>
      <c r="M67" s="257">
        <f>(sum(M60:M62)+'종합'!$K$7+'종합'!$K$15+'종합'!$C$8/100+IF(AND('방어구룬'!$B$39=TRUE, OR(M56="2-1", M56="4-1", M56="4-3")), 0.24, "")+IF(AND('엠블럼룬'!$B$8=TRUE, $B$23&lt;&gt;"약점", M56="1-1"), 0.14, ""))</f>
        <v>0.4055294118</v>
      </c>
      <c r="N67" s="257">
        <f>(sum(N60:N62)+'종합'!$K$7+'종합'!$K$15+'종합'!$C$8/100+IF(AND('방어구룬'!$B$39=TRUE, OR(N56="2-1", N56="4-1", N56="4-3")), 0.24, "")+IF(AND('엠블럼룬'!$B$8=TRUE, $B$23&lt;&gt;"약점", N56="1-1"), 0.14, ""))</f>
        <v>0.4055294118</v>
      </c>
      <c r="O67" s="257">
        <f>(sum(O60:O62)+'종합'!$K$7+'종합'!$K$15+'종합'!$C$8/100+IF(AND('방어구룬'!$B$39=TRUE, OR(O56="2-1", O56="4-1", O56="4-3")), 0.24, "")+IF(AND('엠블럼룬'!$B$8=TRUE, $B$23&lt;&gt;"약점", O56="1-1"), 0.14, ""))</f>
        <v>0.4055294118</v>
      </c>
      <c r="P67" s="257">
        <f>(sum(P60:P62)+'종합'!$K$7+'종합'!$K$15+'종합'!$C$8/100+IF(AND('방어구룬'!$B$39=TRUE, OR(P56="2-1", P56="4-1", P56="4-3")), 0.24, "")+IF(AND('엠블럼룬'!$B$8=TRUE, $B$23&lt;&gt;"약점", P56="1-1"), 0.14, ""))</f>
        <v>0.4055294118</v>
      </c>
      <c r="Q67" s="257">
        <f>(sum(Q60:Q62)+'종합'!$K$7+'종합'!$K$15+'종합'!$C$8/100+IF(AND('방어구룬'!$B$39=TRUE, OR(Q56="2-1", Q56="4-1", Q56="4-3")), 0.24, "")+IF(AND('엠블럼룬'!$B$8=TRUE, $B$23&lt;&gt;"약점", Q56="1-1"), 0.14, ""))</f>
        <v>0.4055294118</v>
      </c>
      <c r="R67" s="257">
        <f>(sum(R60:R62)+'종합'!$K$7+'종합'!$K$15+'종합'!$C$8/100+IF(AND('방어구룬'!$B$39=TRUE, OR(R56="2-1", R56="4-1", R56="4-3")), 0.24, "")+IF(AND('엠블럼룬'!$B$8=TRUE, $B$23&lt;&gt;"약점", R56="1-1"), 0.14, ""))</f>
        <v>0.4055294118</v>
      </c>
      <c r="S67" s="257">
        <f>(sum(S60:S62)+'종합'!$K$7+'종합'!$K$15+'종합'!$C$8/100+IF(AND('방어구룬'!$B$39=TRUE, OR(S56="2-1", S56="4-1", S56="4-3")), 0.24, "")+IF(AND('엠블럼룬'!$B$8=TRUE, $B$23&lt;&gt;"약점", S56="1-1"), 0.14, ""))</f>
        <v>0.4055294118</v>
      </c>
      <c r="T67" s="257">
        <f>(sum(T60:T62)+'종합'!$K$7+'종합'!$K$15+'종합'!$C$8/100+IF(AND('방어구룬'!$B$39=TRUE, OR(T56="2-1", T56="4-1", T56="4-3")), 0.24, "")+IF(AND('엠블럼룬'!$B$8=TRUE, $B$23&lt;&gt;"약점", T56="1-1"), 0.14, ""))</f>
        <v>0.4055294118</v>
      </c>
      <c r="U67" s="257">
        <f>(sum(U60:U62)+'종합'!$K$7+'종합'!$K$15+'종합'!$C$8/100+IF(AND('방어구룬'!$B$39=TRUE, OR(U56="2-1", U56="4-1", U56="4-3")), 0.24, "")+IF(AND('엠블럼룬'!$B$8=TRUE, $B$23&lt;&gt;"약점", U56="1-1"), 0.14, ""))</f>
        <v>0.4055294118</v>
      </c>
      <c r="V67" s="257">
        <f>(sum(V60:V62)+'종합'!$K$7+'종합'!$K$15+'종합'!$C$8/100+IF(AND('방어구룬'!$B$39=TRUE, OR(V56="2-1", V56="4-1", V56="4-3")), 0.24, "")+IF(AND('엠블럼룬'!$B$8=TRUE, $B$23&lt;&gt;"약점", V56="1-1"), 0.14, ""))</f>
        <v>0.4055294118</v>
      </c>
      <c r="W67" s="257">
        <f>(sum(W60:W62)+'종합'!$K$7+'종합'!$K$15+'종합'!$C$8/100+IF(AND('방어구룬'!$B$39=TRUE, OR(W56="2-1", W56="4-1", W56="4-3")), 0.24, "")+IF(AND('엠블럼룬'!$B$8=TRUE, $B$23&lt;&gt;"약점", W56="1-1"), 0.14, ""))</f>
        <v>0.4055294118</v>
      </c>
      <c r="X67" s="257">
        <f>(sum(X60:X62)+'종합'!$K$7+'종합'!$K$15+'종합'!$C$8/100+IF(AND('방어구룬'!$B$39=TRUE, OR(X56="2-1", X56="4-1", X56="4-3")), 0.24, "")+IF(AND('엠블럼룬'!$B$8=TRUE, $B$23&lt;&gt;"약점", X56="1-1"), 0.14, ""))</f>
        <v>0.4055294118</v>
      </c>
      <c r="Y67" s="257">
        <f>(sum(Y60:Y62)+'종합'!$K$7+'종합'!$K$15+'종합'!$C$8/100+IF(AND('방어구룬'!$B$39=TRUE, OR(Y56="2-1", Y56="4-1", Y56="4-3")), 0.24, "")+IF(AND('엠블럼룬'!$B$8=TRUE, $B$23&lt;&gt;"약점", Y56="1-1"), 0.14, ""))</f>
        <v>0.4055294118</v>
      </c>
      <c r="Z67" s="257">
        <f>(sum(Z60:Z62)+'종합'!$K$7+'종합'!$K$15+'종합'!$C$8/100+IF(AND('방어구룬'!$B$39=TRUE, OR(Z56="2-1", Z56="4-1", Z56="4-3")), 0.24, "")+IF(AND('엠블럼룬'!$B$8=TRUE, $B$23&lt;&gt;"약점", Z56="1-1"), 0.14, ""))</f>
        <v>0.4055294118</v>
      </c>
      <c r="AA67" s="257">
        <f>(sum(AA60:AA62)+'종합'!$K$7+'종합'!$K$15+'종합'!$C$8/100+IF(AND('방어구룬'!$B$39=TRUE, OR(AA56="2-1", AA56="4-1", AA56="4-3")), 0.24, "")+IF(AND('엠블럼룬'!$B$8=TRUE, $B$23&lt;&gt;"약점", AA56="1-1"), 0.14, ""))</f>
        <v>0.4055294118</v>
      </c>
      <c r="AB67" s="257">
        <f>(sum(AB60:AB62)+'종합'!$K$7+'종합'!$K$15+'종합'!$C$8/100+IF(AND('방어구룬'!$B$39=TRUE, OR(AB56="2-1", AB56="4-1", AB56="4-3")), 0.24, "")+IF(AND('엠블럼룬'!$B$8=TRUE, $B$23&lt;&gt;"약점", AB56="1-1"), 0.14, ""))</f>
        <v>0.4055294118</v>
      </c>
      <c r="AC67" s="257">
        <f>(sum(AC60:AC62)+'종합'!$K$7+'종합'!$K$15+'종합'!$C$8/100+IF(AND('방어구룬'!$B$39=TRUE, OR(AC56="2-1", AC56="4-1", AC56="4-3")), 0.24, "")+IF(AND('엠블럼룬'!$B$8=TRUE, $B$23&lt;&gt;"약점", AC56="1-1"), 0.14, ""))</f>
        <v>0.4055294118</v>
      </c>
      <c r="AD67" s="257">
        <f>(sum(AD60:AD62)+'종합'!$K$7+'종합'!$K$15+'종합'!$C$8/100+IF(AND('방어구룬'!$B$39=TRUE, OR(AD56="2-1", AD56="4-1", AD56="4-3")), 0.24, "")+IF(AND('엠블럼룬'!$B$8=TRUE, $B$23&lt;&gt;"약점", AD56="1-1"), 0.14, ""))</f>
        <v>0.4055294118</v>
      </c>
      <c r="AE67" s="257">
        <f>(sum(AE60:AE62)+'종합'!$K$7+'종합'!$K$15+'종합'!$C$8/100+IF(AND('방어구룬'!$B$39=TRUE, OR(AE56="2-1", AE56="4-1", AE56="4-3")), 0.24, "")+IF(AND('엠블럼룬'!$B$8=TRUE, $B$23&lt;&gt;"약점", AE56="1-1"), 0.14, ""))</f>
        <v>0.4055294118</v>
      </c>
      <c r="AF67" s="257">
        <f>(sum(AF60:AF62)+'종합'!$K$7+'종합'!$K$15+'종합'!$C$8/100+IF(AND('방어구룬'!$B$39=TRUE, OR(AF56="2-1", AF56="4-1", AF56="4-3")), 0.24, "")+IF(AND('엠블럼룬'!$B$8=TRUE, $B$23&lt;&gt;"약점", AF56="1-1"), 0.14, ""))</f>
        <v>0.4055294118</v>
      </c>
      <c r="AG67" s="257">
        <f>(sum(AG60:AG62)+'종합'!$K$7+'종합'!$K$15+'종합'!$C$8/100+IF(AND('방어구룬'!$B$39=TRUE, OR(AG56="2-1", AG56="4-1", AG56="4-3")), 0.24, "")+IF(AND('엠블럼룬'!$B$8=TRUE, $B$23&lt;&gt;"약점", AG56="1-1"), 0.14, ""))</f>
        <v>0.4055294118</v>
      </c>
      <c r="AH67" s="257">
        <f>(sum(AH60:AH62)+'종합'!$K$7+'종합'!$K$15+'종합'!$C$8/100+IF(AND('방어구룬'!$B$39=TRUE, OR(AH56="2-1", AH56="4-1", AH56="4-3")), 0.24, "")+IF(AND('엠블럼룬'!$B$8=TRUE, $B$23&lt;&gt;"약점", AH56="1-1"), 0.14, ""))</f>
        <v>0.4055294118</v>
      </c>
      <c r="AI67" s="62"/>
      <c r="AJ67" s="258">
        <f>IF(AJ66-AJ65 &lt; 0, 0, AJ66-AJ65)</f>
        <v>7.798496</v>
      </c>
      <c r="AK67" s="62" t="s">
        <v>477</v>
      </c>
    </row>
    <row r="68">
      <c r="A68" s="25" t="s">
        <v>478</v>
      </c>
      <c r="B68" s="1"/>
      <c r="C68" s="257">
        <f>C63+C64+'종합'!$K$13</f>
        <v>1.073070019</v>
      </c>
      <c r="D68" s="257">
        <f>D63+D64+'종합'!$K$13</f>
        <v>1.073070019</v>
      </c>
      <c r="E68" s="257">
        <f>E63+E64+'종합'!$K$13</f>
        <v>1.073070019</v>
      </c>
      <c r="F68" s="257">
        <f>F63+F64+'종합'!$K$13</f>
        <v>1.073070019</v>
      </c>
      <c r="G68" s="257">
        <f>G63+G64+'종합'!$K$13</f>
        <v>1.073070019</v>
      </c>
      <c r="H68" s="257">
        <f>H63+H64+'종합'!$K$13</f>
        <v>1.073070019</v>
      </c>
      <c r="I68" s="257">
        <f>I63+I64+'종합'!$K$13</f>
        <v>1.073070019</v>
      </c>
      <c r="J68" s="257">
        <f>J63+J64+'종합'!$K$13</f>
        <v>1.073070019</v>
      </c>
      <c r="K68" s="257">
        <f>K63+K64+'종합'!$K$13</f>
        <v>1.073070019</v>
      </c>
      <c r="L68" s="257">
        <f>L63+L64+'종합'!$K$13</f>
        <v>1.073070019</v>
      </c>
      <c r="M68" s="257">
        <f>M63+M64+'종합'!$K$13</f>
        <v>1.073070019</v>
      </c>
      <c r="N68" s="257">
        <f>N63+N64+'종합'!$K$13</f>
        <v>1.073070019</v>
      </c>
      <c r="O68" s="257">
        <f>O63+O64+'종합'!$K$13</f>
        <v>1.073070019</v>
      </c>
      <c r="P68" s="257">
        <f>P63+P64+'종합'!$K$13</f>
        <v>1.073070019</v>
      </c>
      <c r="Q68" s="257">
        <f>Q63+Q64+'종합'!$K$13</f>
        <v>1.073070019</v>
      </c>
      <c r="R68" s="257">
        <f>R63+R64+'종합'!$K$13</f>
        <v>1.073070019</v>
      </c>
      <c r="S68" s="257">
        <f>S63+S64+'종합'!$K$13</f>
        <v>1.073070019</v>
      </c>
      <c r="T68" s="257">
        <f>T63+T64+'종합'!$K$13</f>
        <v>1.073070019</v>
      </c>
      <c r="U68" s="257">
        <f>U63+U64+'종합'!$K$13</f>
        <v>1.073070019</v>
      </c>
      <c r="V68" s="257">
        <f>V63+V64+'종합'!$K$13</f>
        <v>1.073070019</v>
      </c>
      <c r="W68" s="257">
        <f>W63+W64+'종합'!$K$13</f>
        <v>1.073070019</v>
      </c>
      <c r="X68" s="257">
        <f>X63+X64+'종합'!$K$13</f>
        <v>1.073070019</v>
      </c>
      <c r="Y68" s="257">
        <f>Y63+Y64+'종합'!$K$13</f>
        <v>1.073070019</v>
      </c>
      <c r="Z68" s="257">
        <f>Z63+Z64+'종합'!$K$13</f>
        <v>1.073070019</v>
      </c>
      <c r="AA68" s="257">
        <f>AA63+AA64+'종합'!$K$13</f>
        <v>1.073070019</v>
      </c>
      <c r="AB68" s="257">
        <f>AB63+AB64+'종합'!$K$13</f>
        <v>1.073070019</v>
      </c>
      <c r="AC68" s="257">
        <f>AC63+AC64+'종합'!$K$13</f>
        <v>1.073070019</v>
      </c>
      <c r="AD68" s="257">
        <f>AD63+AD64+'종합'!$K$13</f>
        <v>1.073070019</v>
      </c>
      <c r="AE68" s="257">
        <f>AE63+AE64+'종합'!$K$13</f>
        <v>1.073070019</v>
      </c>
      <c r="AF68" s="257">
        <f>AF63+AF64+'종합'!$K$13</f>
        <v>1.073070019</v>
      </c>
      <c r="AG68" s="257">
        <f>AG63+AG64+'종합'!$K$13</f>
        <v>1.073070019</v>
      </c>
      <c r="AH68" s="257">
        <f>AH63+AH64+'종합'!$K$13</f>
        <v>1.073070019</v>
      </c>
      <c r="AI68" s="62"/>
      <c r="AJ68" s="258">
        <f>0.8*(1-'종합'!I$22)</f>
        <v>0.716896</v>
      </c>
      <c r="AK68" s="62" t="s">
        <v>479</v>
      </c>
    </row>
    <row r="69">
      <c r="A69" s="25" t="s">
        <v>480</v>
      </c>
      <c r="B69" s="1"/>
      <c r="C69" s="257">
        <f>1-'종합'!$K$17+'종합'!$K$12*'종합'!$K$17</f>
        <v>2.472480923</v>
      </c>
      <c r="D69" s="257">
        <f>1-'종합'!$K$17+'종합'!$K$12*'종합'!$K$17</f>
        <v>2.472480923</v>
      </c>
      <c r="E69" s="257">
        <f>1-'종합'!$K$17+'종합'!$K$12*'종합'!$K$17</f>
        <v>2.472480923</v>
      </c>
      <c r="F69" s="257">
        <f>1-'종합'!$K$17+'종합'!$K$12*'종합'!$K$17</f>
        <v>2.472480923</v>
      </c>
      <c r="G69" s="257">
        <f>1-'종합'!$K$17+'종합'!$K$12*'종합'!$K$17</f>
        <v>2.472480923</v>
      </c>
      <c r="H69" s="257">
        <f>1-'종합'!$K$17+'종합'!$K$12*'종합'!$K$17</f>
        <v>2.472480923</v>
      </c>
      <c r="I69" s="257">
        <f>1-'종합'!$K$17+'종합'!$K$12*'종합'!$K$17</f>
        <v>2.472480923</v>
      </c>
      <c r="J69" s="257">
        <f>1-'종합'!$K$17+'종합'!$K$12*'종합'!$K$17</f>
        <v>2.472480923</v>
      </c>
      <c r="K69" s="257">
        <f>1-'종합'!$K$17+'종합'!$K$12*'종합'!$K$17</f>
        <v>2.472480923</v>
      </c>
      <c r="L69" s="257">
        <f>1-'종합'!$K$17+'종합'!$K$12*'종합'!$K$17</f>
        <v>2.472480923</v>
      </c>
      <c r="M69" s="257">
        <f>1-'종합'!$K$17+'종합'!$K$12*'종합'!$K$17</f>
        <v>2.472480923</v>
      </c>
      <c r="N69" s="257">
        <f>1-'종합'!$K$17+'종합'!$K$12*'종합'!$K$17</f>
        <v>2.472480923</v>
      </c>
      <c r="O69" s="257">
        <f>1-'종합'!$K$17+'종합'!$K$12*'종합'!$K$17</f>
        <v>2.472480923</v>
      </c>
      <c r="P69" s="257">
        <f>1-'종합'!$K$17+'종합'!$K$12*'종합'!$K$17</f>
        <v>2.472480923</v>
      </c>
      <c r="Q69" s="257">
        <f>1-'종합'!$K$17+'종합'!$K$12*'종합'!$K$17</f>
        <v>2.472480923</v>
      </c>
      <c r="R69" s="257">
        <f>1-'종합'!$K$17+'종합'!$K$12*'종합'!$K$17</f>
        <v>2.472480923</v>
      </c>
      <c r="S69" s="257">
        <f>1-'종합'!$K$17+'종합'!$K$12*'종합'!$K$17</f>
        <v>2.472480923</v>
      </c>
      <c r="T69" s="257">
        <f>1-'종합'!$K$17+'종합'!$K$12*'종합'!$K$17</f>
        <v>2.472480923</v>
      </c>
      <c r="U69" s="257">
        <f>1-'종합'!$K$17+'종합'!$K$12*'종합'!$K$17</f>
        <v>2.472480923</v>
      </c>
      <c r="V69" s="257">
        <f>1-'종합'!$K$17+'종합'!$K$12*'종합'!$K$17</f>
        <v>2.472480923</v>
      </c>
      <c r="W69" s="257">
        <f>1-'종합'!$K$17+'종합'!$K$12*'종합'!$K$17</f>
        <v>2.472480923</v>
      </c>
      <c r="X69" s="257">
        <f>1-'종합'!$K$17+'종합'!$K$12*'종합'!$K$17</f>
        <v>2.472480923</v>
      </c>
      <c r="Y69" s="257">
        <f>1-'종합'!$K$17+'종합'!$K$12*'종합'!$K$17</f>
        <v>2.472480923</v>
      </c>
      <c r="Z69" s="257">
        <f>1-'종합'!$K$17+'종합'!$K$12*'종합'!$K$17</f>
        <v>2.472480923</v>
      </c>
      <c r="AA69" s="257">
        <f>1-'종합'!$K$17+'종합'!$K$12*'종합'!$K$17</f>
        <v>2.472480923</v>
      </c>
      <c r="AB69" s="257">
        <f>1-'종합'!$K$17+'종합'!$K$12*'종합'!$K$17</f>
        <v>2.472480923</v>
      </c>
      <c r="AC69" s="257">
        <f>1-'종합'!$K$17+'종합'!$K$12*'종합'!$K$17</f>
        <v>2.472480923</v>
      </c>
      <c r="AD69" s="257">
        <f>1-'종합'!$K$17+'종합'!$K$12*'종합'!$K$17</f>
        <v>2.472480923</v>
      </c>
      <c r="AE69" s="257">
        <f>1-'종합'!$K$17+'종합'!$K$12*'종합'!$K$17</f>
        <v>2.472480923</v>
      </c>
      <c r="AF69" s="257">
        <f>1-'종합'!$K$17+'종합'!$K$12*'종합'!$K$17</f>
        <v>2.472480923</v>
      </c>
      <c r="AG69" s="257">
        <f>1-'종합'!$K$17+'종합'!$K$12*'종합'!$K$17</f>
        <v>2.472480923</v>
      </c>
      <c r="AH69" s="257">
        <f>1-'종합'!$K$17+'종합'!$K$12*'종합'!$K$17</f>
        <v>2.472480923</v>
      </c>
      <c r="AI69" s="62"/>
      <c r="AJ69" s="258">
        <f>'헬퍼테이블'!E42</f>
        <v>4</v>
      </c>
      <c r="AK69" s="62" t="s">
        <v>481</v>
      </c>
    </row>
    <row r="70">
      <c r="A70" s="25" t="s">
        <v>482</v>
      </c>
      <c r="B70" s="1"/>
      <c r="C70" s="257">
        <f>1-'종합'!$K$16+'종합'!$K$11*'종합'!$K$16</f>
        <v>1.313522756</v>
      </c>
      <c r="D70" s="257">
        <f>1-'종합'!$K$16+'종합'!$K$11*'종합'!$K$16</f>
        <v>1.313522756</v>
      </c>
      <c r="E70" s="257">
        <f>1-'종합'!$K$16+'종합'!$K$11*'종합'!$K$16</f>
        <v>1.313522756</v>
      </c>
      <c r="F70" s="257">
        <f>1-'종합'!$K$16+'종합'!$K$11*'종합'!$K$16</f>
        <v>1.313522756</v>
      </c>
      <c r="G70" s="257">
        <f>1-'종합'!$K$16+'종합'!$K$11*'종합'!$K$16</f>
        <v>1.313522756</v>
      </c>
      <c r="H70" s="257">
        <f>1-'종합'!$K$16+'종합'!$K$11*'종합'!$K$16</f>
        <v>1.313522756</v>
      </c>
      <c r="I70" s="257">
        <f>1-'종합'!$K$16+'종합'!$K$11*'종합'!$K$16</f>
        <v>1.313522756</v>
      </c>
      <c r="J70" s="257">
        <f>1-'종합'!$K$16+'종합'!$K$11*'종합'!$K$16</f>
        <v>1.313522756</v>
      </c>
      <c r="K70" s="257">
        <f>1-'종합'!$K$16+'종합'!$K$11*'종합'!$K$16</f>
        <v>1.313522756</v>
      </c>
      <c r="L70" s="257">
        <f>1-'종합'!$K$16+'종합'!$K$11*'종합'!$K$16</f>
        <v>1.313522756</v>
      </c>
      <c r="M70" s="257">
        <f>1-'종합'!$K$16+'종합'!$K$11*'종합'!$K$16</f>
        <v>1.313522756</v>
      </c>
      <c r="N70" s="257">
        <f>1-'종합'!$K$16+'종합'!$K$11*'종합'!$K$16</f>
        <v>1.313522756</v>
      </c>
      <c r="O70" s="257">
        <f>1-'종합'!$K$16+'종합'!$K$11*'종합'!$K$16</f>
        <v>1.313522756</v>
      </c>
      <c r="P70" s="257">
        <f>1-'종합'!$K$16+'종합'!$K$11*'종합'!$K$16</f>
        <v>1.313522756</v>
      </c>
      <c r="Q70" s="257">
        <f>1-'종합'!$K$16+'종합'!$K$11*'종합'!$K$16</f>
        <v>1.313522756</v>
      </c>
      <c r="R70" s="257">
        <f>1-'종합'!$K$16+'종합'!$K$11*'종합'!$K$16</f>
        <v>1.313522756</v>
      </c>
      <c r="S70" s="257">
        <f>1-'종합'!$K$16+'종합'!$K$11*'종합'!$K$16</f>
        <v>1.313522756</v>
      </c>
      <c r="T70" s="257">
        <f>1-'종합'!$K$16+'종합'!$K$11*'종합'!$K$16</f>
        <v>1.313522756</v>
      </c>
      <c r="U70" s="257">
        <f>1-'종합'!$K$16+'종합'!$K$11*'종합'!$K$16</f>
        <v>1.313522756</v>
      </c>
      <c r="V70" s="257">
        <f>1-'종합'!$K$16+'종합'!$K$11*'종합'!$K$16</f>
        <v>1.313522756</v>
      </c>
      <c r="W70" s="257">
        <f>1-'종합'!$K$16+'종합'!$K$11*'종합'!$K$16</f>
        <v>1.313522756</v>
      </c>
      <c r="X70" s="257">
        <f>1-'종합'!$K$16+'종합'!$K$11*'종합'!$K$16</f>
        <v>1.313522756</v>
      </c>
      <c r="Y70" s="257">
        <f>1-'종합'!$K$16+'종합'!$K$11*'종합'!$K$16</f>
        <v>1.313522756</v>
      </c>
      <c r="Z70" s="257">
        <f>1-'종합'!$K$16+'종합'!$K$11*'종합'!$K$16</f>
        <v>1.313522756</v>
      </c>
      <c r="AA70" s="257">
        <f>1-'종합'!$K$16+'종합'!$K$11*'종합'!$K$16</f>
        <v>1.313522756</v>
      </c>
      <c r="AB70" s="257">
        <f>1-'종합'!$K$16+'종합'!$K$11*'종합'!$K$16</f>
        <v>1.313522756</v>
      </c>
      <c r="AC70" s="257">
        <f>1-'종합'!$K$16+'종합'!$K$11*'종합'!$K$16</f>
        <v>1.313522756</v>
      </c>
      <c r="AD70" s="257">
        <f>1-'종합'!$K$16+'종합'!$K$11*'종합'!$K$16</f>
        <v>1.313522756</v>
      </c>
      <c r="AE70" s="257">
        <f>1-'종합'!$K$16+'종합'!$K$11*'종합'!$K$16</f>
        <v>1.313522756</v>
      </c>
      <c r="AF70" s="257">
        <f>1-'종합'!$K$16+'종합'!$K$11*'종합'!$K$16</f>
        <v>1.313522756</v>
      </c>
      <c r="AG70" s="257">
        <f>1-'종합'!$K$16+'종합'!$K$11*'종합'!$K$16</f>
        <v>1.313522756</v>
      </c>
      <c r="AH70" s="257">
        <f>1-'종합'!$K$16+'종합'!$K$11*'종합'!$K$16</f>
        <v>1.313522756</v>
      </c>
      <c r="AI70" s="62"/>
      <c r="AJ70" s="62"/>
      <c r="AK70" s="62"/>
    </row>
    <row r="71">
      <c r="A71" s="1" t="s">
        <v>483</v>
      </c>
      <c r="B71" s="1"/>
      <c r="C71" s="151">
        <f t="shared" ref="C71:AH71" si="26">C57*(1+C67)*(1+C68)*C69*C70</f>
        <v>101.5890597</v>
      </c>
      <c r="D71" s="151">
        <f t="shared" si="26"/>
        <v>57.88742599</v>
      </c>
      <c r="E71" s="151">
        <f t="shared" si="26"/>
        <v>22.90010031</v>
      </c>
      <c r="F71" s="151">
        <f t="shared" si="26"/>
        <v>57.88742599</v>
      </c>
      <c r="G71" s="151">
        <f t="shared" si="26"/>
        <v>17.27538391</v>
      </c>
      <c r="H71" s="151">
        <f t="shared" si="26"/>
        <v>1.436494473</v>
      </c>
      <c r="I71" s="151">
        <f t="shared" si="26"/>
        <v>101.5890597</v>
      </c>
      <c r="J71" s="151">
        <f t="shared" si="26"/>
        <v>57.88742599</v>
      </c>
      <c r="K71" s="151">
        <f t="shared" si="26"/>
        <v>22.90010031</v>
      </c>
      <c r="L71" s="151">
        <f t="shared" si="26"/>
        <v>57.88742599</v>
      </c>
      <c r="M71" s="151">
        <f t="shared" si="26"/>
        <v>0</v>
      </c>
      <c r="N71" s="151">
        <f t="shared" si="26"/>
        <v>0</v>
      </c>
      <c r="O71" s="151">
        <f t="shared" si="26"/>
        <v>0</v>
      </c>
      <c r="P71" s="151">
        <f t="shared" si="26"/>
        <v>0</v>
      </c>
      <c r="Q71" s="151">
        <f t="shared" si="26"/>
        <v>0</v>
      </c>
      <c r="R71" s="151">
        <f t="shared" si="26"/>
        <v>0</v>
      </c>
      <c r="S71" s="151">
        <f t="shared" si="26"/>
        <v>0</v>
      </c>
      <c r="T71" s="151">
        <f t="shared" si="26"/>
        <v>0</v>
      </c>
      <c r="U71" s="151">
        <f t="shared" si="26"/>
        <v>0</v>
      </c>
      <c r="V71" s="151">
        <f t="shared" si="26"/>
        <v>0</v>
      </c>
      <c r="W71" s="151">
        <f t="shared" si="26"/>
        <v>0</v>
      </c>
      <c r="X71" s="151">
        <f t="shared" si="26"/>
        <v>0</v>
      </c>
      <c r="Y71" s="151">
        <f t="shared" si="26"/>
        <v>0</v>
      </c>
      <c r="Z71" s="151">
        <f t="shared" si="26"/>
        <v>0</v>
      </c>
      <c r="AA71" s="151">
        <f t="shared" si="26"/>
        <v>0</v>
      </c>
      <c r="AB71" s="151">
        <f t="shared" si="26"/>
        <v>0</v>
      </c>
      <c r="AC71" s="151">
        <f t="shared" si="26"/>
        <v>0</v>
      </c>
      <c r="AD71" s="151">
        <f t="shared" si="26"/>
        <v>0</v>
      </c>
      <c r="AE71" s="151">
        <f t="shared" si="26"/>
        <v>0</v>
      </c>
      <c r="AF71" s="151">
        <f t="shared" si="26"/>
        <v>0</v>
      </c>
      <c r="AG71" s="151">
        <f t="shared" si="26"/>
        <v>0</v>
      </c>
      <c r="AH71" s="151">
        <f t="shared" si="26"/>
        <v>0</v>
      </c>
      <c r="AI71" s="62"/>
      <c r="AJ71" s="62"/>
      <c r="AK71" s="62"/>
    </row>
    <row r="72">
      <c r="A72" s="1" t="s">
        <v>484</v>
      </c>
      <c r="B72" s="1"/>
      <c r="C72" s="208">
        <f t="shared" ref="C72:AH72" si="27">C57*(1+C67)*(1+C68)*C69*C58*IF(OR(C56="1-2", C56="2-2", C56="4-1", C56="4-3", C56="5-1", C56="5-3"), 1,C70)</f>
        <v>35.5561709</v>
      </c>
      <c r="D72" s="208">
        <f t="shared" si="27"/>
        <v>0</v>
      </c>
      <c r="E72" s="208">
        <f t="shared" si="27"/>
        <v>0</v>
      </c>
      <c r="F72" s="151">
        <f t="shared" si="27"/>
        <v>15.4246274</v>
      </c>
      <c r="G72" s="151">
        <f t="shared" si="27"/>
        <v>0</v>
      </c>
      <c r="H72" s="151">
        <f t="shared" si="27"/>
        <v>0</v>
      </c>
      <c r="I72" s="151">
        <f t="shared" si="27"/>
        <v>35.5561709</v>
      </c>
      <c r="J72" s="151">
        <f t="shared" si="27"/>
        <v>0</v>
      </c>
      <c r="K72" s="151">
        <f t="shared" si="27"/>
        <v>0</v>
      </c>
      <c r="L72" s="151">
        <f t="shared" si="27"/>
        <v>15.4246274</v>
      </c>
      <c r="M72" s="151">
        <f t="shared" si="27"/>
        <v>0</v>
      </c>
      <c r="N72" s="151">
        <f t="shared" si="27"/>
        <v>0</v>
      </c>
      <c r="O72" s="151">
        <f t="shared" si="27"/>
        <v>0</v>
      </c>
      <c r="P72" s="151">
        <f t="shared" si="27"/>
        <v>0</v>
      </c>
      <c r="Q72" s="151">
        <f t="shared" si="27"/>
        <v>0</v>
      </c>
      <c r="R72" s="151">
        <f t="shared" si="27"/>
        <v>0</v>
      </c>
      <c r="S72" s="151">
        <f t="shared" si="27"/>
        <v>0</v>
      </c>
      <c r="T72" s="151">
        <f t="shared" si="27"/>
        <v>0</v>
      </c>
      <c r="U72" s="151">
        <f t="shared" si="27"/>
        <v>0</v>
      </c>
      <c r="V72" s="151">
        <f t="shared" si="27"/>
        <v>0</v>
      </c>
      <c r="W72" s="151">
        <f t="shared" si="27"/>
        <v>0</v>
      </c>
      <c r="X72" s="151">
        <f t="shared" si="27"/>
        <v>0</v>
      </c>
      <c r="Y72" s="151">
        <f t="shared" si="27"/>
        <v>0</v>
      </c>
      <c r="Z72" s="151">
        <f t="shared" si="27"/>
        <v>0</v>
      </c>
      <c r="AA72" s="151">
        <f t="shared" si="27"/>
        <v>0</v>
      </c>
      <c r="AB72" s="151">
        <f t="shared" si="27"/>
        <v>0</v>
      </c>
      <c r="AC72" s="151">
        <f t="shared" si="27"/>
        <v>0</v>
      </c>
      <c r="AD72" s="151">
        <f t="shared" si="27"/>
        <v>0</v>
      </c>
      <c r="AE72" s="151">
        <f t="shared" si="27"/>
        <v>0</v>
      </c>
      <c r="AF72" s="151">
        <f t="shared" si="27"/>
        <v>0</v>
      </c>
      <c r="AG72" s="151">
        <f t="shared" si="27"/>
        <v>0</v>
      </c>
      <c r="AH72" s="151">
        <f t="shared" si="27"/>
        <v>0</v>
      </c>
      <c r="AI72" s="62"/>
      <c r="AJ72" s="258">
        <f>'헬퍼테이블'!E43</f>
        <v>9.039</v>
      </c>
      <c r="AK72" s="62" t="s">
        <v>485</v>
      </c>
    </row>
    <row r="73">
      <c r="A73" s="25" t="s">
        <v>141</v>
      </c>
      <c r="B73" s="217">
        <f>SUM(OFFSET(A71, 0, C54, 2, C54))</f>
        <v>309.9566887</v>
      </c>
      <c r="C73" s="217">
        <f>(1-'종합'!$K$17+'종합'!$K$12*'종합'!$K$17)*(1-'종합'!$K$16+'종합'!$K$11*'종합'!$K$16)*AJ73</f>
        <v>2.10201543</v>
      </c>
      <c r="D73" s="217">
        <f>(1-'종합'!$K$17+'종합'!$K$12*'종합'!$K$17)*(1-('종합'!$K$16+'종합'!$K$23)+'종합'!$K$11*('종합'!$K$16+'종합'!$K$23))*AJ69*if('무기룬'!$B$17=true,1.92,0.4)</f>
        <v>5.19625593</v>
      </c>
      <c r="E73" s="217">
        <f>sum(B73:D73)/AJ72</f>
        <v>35.0984578</v>
      </c>
      <c r="F73" s="215"/>
      <c r="G73" s="1"/>
      <c r="H73" s="1"/>
      <c r="I73" s="1"/>
      <c r="J73" s="1"/>
      <c r="K73" s="1"/>
      <c r="L73" s="62"/>
      <c r="M73" s="1"/>
      <c r="N73" s="1"/>
      <c r="O73" s="1"/>
      <c r="P73" s="1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258">
        <f>0.22*(1+'종합'!$C$28)*C54/3</f>
        <v>0.64724</v>
      </c>
      <c r="AK73" s="62" t="s">
        <v>486</v>
      </c>
    </row>
    <row r="74">
      <c r="A74" s="1"/>
      <c r="B74" s="1"/>
      <c r="C74" s="1" t="s">
        <v>487</v>
      </c>
      <c r="D74" s="1" t="s">
        <v>488</v>
      </c>
      <c r="E74" s="1" t="s">
        <v>489</v>
      </c>
      <c r="F74" s="1"/>
      <c r="G74" s="1"/>
      <c r="H74" s="1"/>
      <c r="I74" s="1"/>
      <c r="J74" s="1"/>
      <c r="K74" s="1"/>
      <c r="L74" s="62"/>
      <c r="M74" s="1"/>
      <c r="N74" s="1"/>
      <c r="O74" s="1"/>
      <c r="P74" s="1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62"/>
      <c r="M75" s="1"/>
      <c r="N75" s="1"/>
      <c r="O75" s="1"/>
      <c r="P75" s="1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</row>
    <row r="76">
      <c r="A76" s="1"/>
      <c r="B76" s="1" t="str">
        <f>'종합'!G37&amp;" "&amp;'종합'!G37</f>
        <v>252 252</v>
      </c>
      <c r="C76" s="208">
        <f>LEN(SUBSTITUTE(B76," ",""))/2</f>
        <v>3</v>
      </c>
      <c r="D76" s="1"/>
      <c r="E76" s="1"/>
      <c r="F76" s="1"/>
      <c r="G76" s="1"/>
      <c r="H76" s="1"/>
      <c r="I76" s="1"/>
      <c r="J76" s="1"/>
      <c r="K76" s="1"/>
      <c r="L76" s="62"/>
      <c r="M76" s="1"/>
      <c r="N76" s="1"/>
      <c r="O76" s="1"/>
      <c r="P76" s="1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</row>
    <row r="77">
      <c r="A77" s="1" t="str">
        <f t="shared" ref="A77:AI77" si="28">IFERROR(MID(SUBSTITUTE($B76," ",""),COLUMN(),1),"")</f>
        <v>2</v>
      </c>
      <c r="B77" s="1" t="str">
        <f t="shared" si="28"/>
        <v>5</v>
      </c>
      <c r="C77" s="1" t="str">
        <f t="shared" si="28"/>
        <v>2</v>
      </c>
      <c r="D77" s="1" t="str">
        <f t="shared" si="28"/>
        <v>2</v>
      </c>
      <c r="E77" s="1" t="str">
        <f t="shared" si="28"/>
        <v>5</v>
      </c>
      <c r="F77" s="1" t="str">
        <f t="shared" si="28"/>
        <v>2</v>
      </c>
      <c r="G77" s="1" t="str">
        <f t="shared" si="28"/>
        <v/>
      </c>
      <c r="H77" s="1" t="str">
        <f t="shared" si="28"/>
        <v/>
      </c>
      <c r="I77" s="1" t="str">
        <f t="shared" si="28"/>
        <v/>
      </c>
      <c r="J77" s="1" t="str">
        <f t="shared" si="28"/>
        <v/>
      </c>
      <c r="K77" s="1" t="str">
        <f t="shared" si="28"/>
        <v/>
      </c>
      <c r="L77" s="1" t="str">
        <f t="shared" si="28"/>
        <v/>
      </c>
      <c r="M77" s="1" t="str">
        <f t="shared" si="28"/>
        <v/>
      </c>
      <c r="N77" s="1" t="str">
        <f t="shared" si="28"/>
        <v/>
      </c>
      <c r="O77" s="1" t="str">
        <f t="shared" si="28"/>
        <v/>
      </c>
      <c r="P77" s="1" t="str">
        <f t="shared" si="28"/>
        <v/>
      </c>
      <c r="Q77" s="1" t="str">
        <f t="shared" si="28"/>
        <v/>
      </c>
      <c r="R77" s="1" t="str">
        <f t="shared" si="28"/>
        <v/>
      </c>
      <c r="S77" s="1" t="str">
        <f t="shared" si="28"/>
        <v/>
      </c>
      <c r="T77" s="1" t="str">
        <f t="shared" si="28"/>
        <v/>
      </c>
      <c r="U77" s="1" t="str">
        <f t="shared" si="28"/>
        <v/>
      </c>
      <c r="V77" s="1" t="str">
        <f t="shared" si="28"/>
        <v/>
      </c>
      <c r="W77" s="1" t="str">
        <f t="shared" si="28"/>
        <v/>
      </c>
      <c r="X77" s="1" t="str">
        <f t="shared" si="28"/>
        <v/>
      </c>
      <c r="Y77" s="1" t="str">
        <f t="shared" si="28"/>
        <v/>
      </c>
      <c r="Z77" s="1" t="str">
        <f t="shared" si="28"/>
        <v/>
      </c>
      <c r="AA77" s="1" t="str">
        <f t="shared" si="28"/>
        <v/>
      </c>
      <c r="AB77" s="1" t="str">
        <f t="shared" si="28"/>
        <v/>
      </c>
      <c r="AC77" s="1" t="str">
        <f t="shared" si="28"/>
        <v/>
      </c>
      <c r="AD77" s="1" t="str">
        <f t="shared" si="28"/>
        <v/>
      </c>
      <c r="AE77" s="1" t="str">
        <f t="shared" si="28"/>
        <v/>
      </c>
      <c r="AF77" s="1" t="str">
        <f t="shared" si="28"/>
        <v/>
      </c>
      <c r="AG77" s="1" t="str">
        <f t="shared" si="28"/>
        <v/>
      </c>
      <c r="AH77" s="1" t="str">
        <f t="shared" si="28"/>
        <v/>
      </c>
      <c r="AI77" s="1" t="str">
        <f t="shared" si="28"/>
        <v/>
      </c>
      <c r="AJ77" s="62"/>
      <c r="AK77" s="62"/>
    </row>
    <row r="78">
      <c r="A78" s="238" t="str">
        <f t="array" ref="A78">LET(
    digit, IFERROR(VALUE(A77),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2-1</v>
      </c>
      <c r="B78" s="238" t="str">
        <f t="array" ref="B78">LET(
    digit, IFERROR(VALUE(B77),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5</v>
      </c>
      <c r="C78" s="238" t="str">
        <f t="array" ref="C78">LET(
    digit, IFERROR(VALUE(C77),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2-2</v>
      </c>
      <c r="D78" s="238" t="str">
        <f t="array" ref="D78">LET(
    digit, IFERROR(VALUE(D77),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2-1</v>
      </c>
      <c r="E78" s="238" t="str">
        <f t="array" ref="E78">LET(
    digit, IFERROR(VALUE(E77),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5</v>
      </c>
      <c r="F78" s="238" t="str">
        <f t="array" ref="F78">LET(
    digit, IFERROR(VALUE(F77),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2-2</v>
      </c>
      <c r="G78" s="238" t="str">
        <f t="array" ref="G78">LET(
    digit, IFERROR(VALUE(G77),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H78" s="238" t="str">
        <f t="array" ref="H78">LET(
    digit, IFERROR(VALUE(H77),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I78" s="238" t="str">
        <f t="array" ref="I78">LET(
    digit, IFERROR(VALUE(I77),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J78" s="238" t="str">
        <f t="array" ref="J78">LET(
    digit, IFERROR(VALUE(J77),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K78" s="238" t="str">
        <f t="array" ref="K78">LET(
    digit, IFERROR(VALUE(K77),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L78" s="238" t="str">
        <f t="array" ref="L78">LET(
    digit, IFERROR(VALUE(L77),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M78" s="238" t="str">
        <f t="array" ref="M78">LET(
    digit, IFERROR(VALUE(M77),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N78" s="238" t="str">
        <f t="array" ref="N78">LET(
    digit, IFERROR(VALUE(N77),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O78" s="238" t="str">
        <f t="array" ref="O78">LET(
    digit, IFERROR(VALUE(O77),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P78" s="238" t="str">
        <f t="array" ref="P78">LET(
    digit, IFERROR(VALUE(P77),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Q78" s="238" t="str">
        <f t="array" ref="Q78">LET(
    digit, IFERROR(VALUE(Q77),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R78" s="238" t="str">
        <f t="array" ref="R78">LET(
    digit, IFERROR(VALUE(R77),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S78" s="238" t="str">
        <f t="array" ref="S78">LET(
    digit, IFERROR(VALUE(S77),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T78" s="238" t="str">
        <f t="array" ref="T78">LET(
    digit, IFERROR(VALUE(T77),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U78" s="238" t="str">
        <f t="array" ref="U78">LET(
    digit, IFERROR(VALUE(U77),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V78" s="238" t="str">
        <f t="array" ref="V78">LET(
    digit, IFERROR(VALUE(V77),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W78" s="238" t="str">
        <f t="array" ref="W78">LET(
    digit, IFERROR(VALUE(W77),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X78" s="238" t="str">
        <f t="array" ref="X78">LET(
    digit, IFERROR(VALUE(X77),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Y78" s="238" t="str">
        <f t="array" ref="Y78">LET(
    digit, IFERROR(VALUE(Y77),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Z78" s="238" t="str">
        <f t="array" ref="Z78">LET(
    digit, IFERROR(VALUE(Z77),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A78" s="238" t="str">
        <f t="array" ref="AA78">LET(
    digit, IFERROR(VALUE(AA77),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B78" s="238" t="str">
        <f t="array" ref="AB78">LET(
    digit, IFERROR(VALUE(AB77),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C78" s="238" t="str">
        <f t="array" ref="AC78">LET(
    digit, IFERROR(VALUE(AC77),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D78" s="238" t="str">
        <f t="array" ref="AD78">LET(
    digit, IFERROR(VALUE(AD77),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E78" s="238" t="str">
        <f t="array" ref="AE78">LET(
    digit, IFERROR(VALUE(AE77),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F78" s="238" t="str">
        <f t="array" ref="AF78">LET(
    digit, IFERROR(VALUE(AF77),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G78" s="238" t="str">
        <f t="array" ref="AG78">LET(
    digit, IFERROR(VALUE(AG77),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H78" s="238" t="str">
        <f t="array" ref="AH78">LET(
    digit, IFERROR(VALUE(AH77),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I78" s="238" t="str">
        <f t="array" ref="AI78">LET(
    digit, IFERROR(VALUE(AI77), 0),
    r23_val, $R$23,
    search_range, INDIRECT("A"&amp;ROW()&amp;":"&amp;ADDRESS(ROW(),COLUMN()-1)),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J78" s="238" t="s">
        <v>470</v>
      </c>
      <c r="AK78" s="62" t="s">
        <v>107</v>
      </c>
    </row>
    <row r="79">
      <c r="A79" s="151">
        <f t="shared" ref="A79:AE79" si="29">IFNA(OFFSET(INDEX($24:$24, MATCH(A78, $24:$24, 0)), 5, 1), "")</f>
        <v>1.82559</v>
      </c>
      <c r="B79" s="151">
        <f t="shared" si="29"/>
        <v>6.27266</v>
      </c>
      <c r="C79" s="151">
        <f t="shared" si="29"/>
        <v>2.0391</v>
      </c>
      <c r="D79" s="151">
        <f t="shared" si="29"/>
        <v>1.82559</v>
      </c>
      <c r="E79" s="151">
        <f t="shared" si="29"/>
        <v>6.27266</v>
      </c>
      <c r="F79" s="151">
        <f t="shared" si="29"/>
        <v>2.0391</v>
      </c>
      <c r="G79" s="151" t="str">
        <f t="shared" si="29"/>
        <v/>
      </c>
      <c r="H79" s="151" t="str">
        <f t="shared" si="29"/>
        <v/>
      </c>
      <c r="I79" s="151" t="str">
        <f t="shared" si="29"/>
        <v/>
      </c>
      <c r="J79" s="151" t="str">
        <f t="shared" si="29"/>
        <v/>
      </c>
      <c r="K79" s="151" t="str">
        <f t="shared" si="29"/>
        <v/>
      </c>
      <c r="L79" s="151" t="str">
        <f t="shared" si="29"/>
        <v/>
      </c>
      <c r="M79" s="151" t="str">
        <f t="shared" si="29"/>
        <v/>
      </c>
      <c r="N79" s="151" t="str">
        <f t="shared" si="29"/>
        <v/>
      </c>
      <c r="O79" s="151" t="str">
        <f t="shared" si="29"/>
        <v/>
      </c>
      <c r="P79" s="151" t="str">
        <f t="shared" si="29"/>
        <v/>
      </c>
      <c r="Q79" s="1" t="str">
        <f t="shared" si="29"/>
        <v/>
      </c>
      <c r="R79" s="1" t="str">
        <f t="shared" si="29"/>
        <v/>
      </c>
      <c r="S79" s="1" t="str">
        <f t="shared" si="29"/>
        <v/>
      </c>
      <c r="T79" s="1" t="str">
        <f t="shared" si="29"/>
        <v/>
      </c>
      <c r="U79" s="1" t="str">
        <f t="shared" si="29"/>
        <v/>
      </c>
      <c r="V79" s="1" t="str">
        <f t="shared" si="29"/>
        <v/>
      </c>
      <c r="W79" s="1" t="str">
        <f t="shared" si="29"/>
        <v/>
      </c>
      <c r="X79" s="1" t="str">
        <f t="shared" si="29"/>
        <v/>
      </c>
      <c r="Y79" s="1" t="str">
        <f t="shared" si="29"/>
        <v/>
      </c>
      <c r="Z79" s="1" t="str">
        <f t="shared" si="29"/>
        <v/>
      </c>
      <c r="AA79" s="1" t="str">
        <f t="shared" si="29"/>
        <v/>
      </c>
      <c r="AB79" s="1" t="str">
        <f t="shared" si="29"/>
        <v/>
      </c>
      <c r="AC79" s="1" t="str">
        <f t="shared" si="29"/>
        <v/>
      </c>
      <c r="AD79" s="1" t="str">
        <f t="shared" si="29"/>
        <v/>
      </c>
      <c r="AE79" s="1" t="str">
        <f t="shared" si="29"/>
        <v/>
      </c>
      <c r="AF79" s="1"/>
      <c r="AG79" s="1"/>
      <c r="AH79" s="1"/>
      <c r="AI79" s="62"/>
      <c r="AJ79" s="62"/>
      <c r="AK79" s="62" t="s">
        <v>469</v>
      </c>
    </row>
    <row r="80">
      <c r="A80" s="1"/>
      <c r="B80" s="1"/>
      <c r="C80" s="151" t="str">
        <f t="shared" ref="C80:AH80" si="30">IFS(
    OR(C78="3", ISBLANK(C78)), "",
    AND(B78="3", OR(A78="1-1", A78="2-1", A78="4-2", A78="5-2")), 0.35,
    OR(B78="1-1", B78="2-1", B78="4-2", B78="5-2"), 0.35,
    TRUE, ""
)</f>
        <v/>
      </c>
      <c r="D80" s="1" t="str">
        <f t="shared" si="30"/>
        <v/>
      </c>
      <c r="E80" s="1">
        <f t="shared" si="30"/>
        <v>0.35</v>
      </c>
      <c r="F80" s="1" t="str">
        <f t="shared" si="30"/>
        <v/>
      </c>
      <c r="G80" s="151" t="str">
        <f t="shared" si="30"/>
        <v/>
      </c>
      <c r="H80" s="1" t="str">
        <f t="shared" si="30"/>
        <v/>
      </c>
      <c r="I80" s="1" t="str">
        <f t="shared" si="30"/>
        <v/>
      </c>
      <c r="J80" s="1" t="str">
        <f t="shared" si="30"/>
        <v/>
      </c>
      <c r="K80" s="151" t="str">
        <f t="shared" si="30"/>
        <v/>
      </c>
      <c r="L80" s="1" t="str">
        <f t="shared" si="30"/>
        <v/>
      </c>
      <c r="M80" s="1" t="str">
        <f t="shared" si="30"/>
        <v/>
      </c>
      <c r="N80" s="1" t="str">
        <f t="shared" si="30"/>
        <v/>
      </c>
      <c r="O80" s="151" t="str">
        <f t="shared" si="30"/>
        <v/>
      </c>
      <c r="P80" s="1" t="str">
        <f t="shared" si="30"/>
        <v/>
      </c>
      <c r="Q80" s="1" t="str">
        <f t="shared" si="30"/>
        <v/>
      </c>
      <c r="R80" s="1" t="str">
        <f t="shared" si="30"/>
        <v/>
      </c>
      <c r="S80" s="1" t="str">
        <f t="shared" si="30"/>
        <v/>
      </c>
      <c r="T80" s="1" t="str">
        <f t="shared" si="30"/>
        <v/>
      </c>
      <c r="U80" s="1" t="str">
        <f t="shared" si="30"/>
        <v/>
      </c>
      <c r="V80" s="1" t="str">
        <f t="shared" si="30"/>
        <v/>
      </c>
      <c r="W80" s="1" t="str">
        <f t="shared" si="30"/>
        <v/>
      </c>
      <c r="X80" s="1" t="str">
        <f t="shared" si="30"/>
        <v/>
      </c>
      <c r="Y80" s="1" t="str">
        <f t="shared" si="30"/>
        <v/>
      </c>
      <c r="Z80" s="1" t="str">
        <f t="shared" si="30"/>
        <v/>
      </c>
      <c r="AA80" s="1" t="str">
        <f t="shared" si="30"/>
        <v/>
      </c>
      <c r="AB80" s="1" t="str">
        <f t="shared" si="30"/>
        <v/>
      </c>
      <c r="AC80" s="1" t="str">
        <f t="shared" si="30"/>
        <v/>
      </c>
      <c r="AD80" s="1" t="str">
        <f t="shared" si="30"/>
        <v/>
      </c>
      <c r="AE80" s="1" t="str">
        <f t="shared" si="30"/>
        <v/>
      </c>
      <c r="AF80" s="1" t="str">
        <f t="shared" si="30"/>
        <v/>
      </c>
      <c r="AG80" s="1" t="str">
        <f t="shared" si="30"/>
        <v/>
      </c>
      <c r="AH80" s="1" t="str">
        <f t="shared" si="30"/>
        <v/>
      </c>
      <c r="AI80" s="62"/>
      <c r="AJ80" s="62"/>
      <c r="AK80" s="62" t="s">
        <v>471</v>
      </c>
    </row>
    <row r="81">
      <c r="A81" s="1"/>
      <c r="B81" s="1"/>
      <c r="C81" s="1" t="str">
        <f t="shared" ref="C81:AH81" si="31">IF(OR(C78="4-1", C78="4-2", C78="4-3"), C79, "")</f>
        <v/>
      </c>
      <c r="D81" s="1" t="str">
        <f t="shared" si="31"/>
        <v/>
      </c>
      <c r="E81" s="1" t="str">
        <f t="shared" si="31"/>
        <v/>
      </c>
      <c r="F81" s="1" t="str">
        <f t="shared" si="31"/>
        <v/>
      </c>
      <c r="G81" s="1" t="str">
        <f t="shared" si="31"/>
        <v/>
      </c>
      <c r="H81" s="1" t="str">
        <f t="shared" si="31"/>
        <v/>
      </c>
      <c r="I81" s="1" t="str">
        <f t="shared" si="31"/>
        <v/>
      </c>
      <c r="J81" s="1" t="str">
        <f t="shared" si="31"/>
        <v/>
      </c>
      <c r="K81" s="1" t="str">
        <f t="shared" si="31"/>
        <v/>
      </c>
      <c r="L81" s="1" t="str">
        <f t="shared" si="31"/>
        <v/>
      </c>
      <c r="M81" s="1" t="str">
        <f t="shared" si="31"/>
        <v/>
      </c>
      <c r="N81" s="1" t="str">
        <f t="shared" si="31"/>
        <v/>
      </c>
      <c r="O81" s="1" t="str">
        <f t="shared" si="31"/>
        <v/>
      </c>
      <c r="P81" s="1" t="str">
        <f t="shared" si="31"/>
        <v/>
      </c>
      <c r="Q81" s="1" t="str">
        <f t="shared" si="31"/>
        <v/>
      </c>
      <c r="R81" s="1" t="str">
        <f t="shared" si="31"/>
        <v/>
      </c>
      <c r="S81" s="1" t="str">
        <f t="shared" si="31"/>
        <v/>
      </c>
      <c r="T81" s="1" t="str">
        <f t="shared" si="31"/>
        <v/>
      </c>
      <c r="U81" s="1" t="str">
        <f t="shared" si="31"/>
        <v/>
      </c>
      <c r="V81" s="1" t="str">
        <f t="shared" si="31"/>
        <v/>
      </c>
      <c r="W81" s="1" t="str">
        <f t="shared" si="31"/>
        <v/>
      </c>
      <c r="X81" s="1" t="str">
        <f t="shared" si="31"/>
        <v/>
      </c>
      <c r="Y81" s="1" t="str">
        <f t="shared" si="31"/>
        <v/>
      </c>
      <c r="Z81" s="1" t="str">
        <f t="shared" si="31"/>
        <v/>
      </c>
      <c r="AA81" s="1" t="str">
        <f t="shared" si="31"/>
        <v/>
      </c>
      <c r="AB81" s="1" t="str">
        <f t="shared" si="31"/>
        <v/>
      </c>
      <c r="AC81" s="1" t="str">
        <f t="shared" si="31"/>
        <v/>
      </c>
      <c r="AD81" s="1" t="str">
        <f t="shared" si="31"/>
        <v/>
      </c>
      <c r="AE81" s="1" t="str">
        <f t="shared" si="31"/>
        <v/>
      </c>
      <c r="AF81" s="1" t="str">
        <f t="shared" si="31"/>
        <v/>
      </c>
      <c r="AG81" s="1" t="str">
        <f t="shared" si="31"/>
        <v/>
      </c>
      <c r="AH81" s="1" t="str">
        <f t="shared" si="31"/>
        <v/>
      </c>
      <c r="AI81" s="62"/>
      <c r="AJ81" s="62"/>
      <c r="AK81" s="62" t="s">
        <v>461</v>
      </c>
    </row>
    <row r="82">
      <c r="A82" s="1"/>
      <c r="B82" s="1"/>
      <c r="C82" s="151">
        <f t="shared" ref="C82:AH82" si="32">if(C78="3",0,0.15)</f>
        <v>0.15</v>
      </c>
      <c r="D82" s="151">
        <f t="shared" si="32"/>
        <v>0.15</v>
      </c>
      <c r="E82" s="151">
        <f t="shared" si="32"/>
        <v>0.15</v>
      </c>
      <c r="F82" s="151">
        <f t="shared" si="32"/>
        <v>0.15</v>
      </c>
      <c r="G82" s="151">
        <f t="shared" si="32"/>
        <v>0.15</v>
      </c>
      <c r="H82" s="151">
        <f t="shared" si="32"/>
        <v>0.15</v>
      </c>
      <c r="I82" s="151">
        <f t="shared" si="32"/>
        <v>0.15</v>
      </c>
      <c r="J82" s="151">
        <f t="shared" si="32"/>
        <v>0.15</v>
      </c>
      <c r="K82" s="151">
        <f t="shared" si="32"/>
        <v>0.15</v>
      </c>
      <c r="L82" s="151">
        <f t="shared" si="32"/>
        <v>0.15</v>
      </c>
      <c r="M82" s="151">
        <f t="shared" si="32"/>
        <v>0.15</v>
      </c>
      <c r="N82" s="151">
        <f t="shared" si="32"/>
        <v>0.15</v>
      </c>
      <c r="O82" s="151">
        <f t="shared" si="32"/>
        <v>0.15</v>
      </c>
      <c r="P82" s="151">
        <f t="shared" si="32"/>
        <v>0.15</v>
      </c>
      <c r="Q82" s="151">
        <f t="shared" si="32"/>
        <v>0.15</v>
      </c>
      <c r="R82" s="151">
        <f t="shared" si="32"/>
        <v>0.15</v>
      </c>
      <c r="S82" s="151">
        <f t="shared" si="32"/>
        <v>0.15</v>
      </c>
      <c r="T82" s="151">
        <f t="shared" si="32"/>
        <v>0.15</v>
      </c>
      <c r="U82" s="151">
        <f t="shared" si="32"/>
        <v>0.15</v>
      </c>
      <c r="V82" s="151">
        <f t="shared" si="32"/>
        <v>0.15</v>
      </c>
      <c r="W82" s="151">
        <f t="shared" si="32"/>
        <v>0.15</v>
      </c>
      <c r="X82" s="151">
        <f t="shared" si="32"/>
        <v>0.15</v>
      </c>
      <c r="Y82" s="151">
        <f t="shared" si="32"/>
        <v>0.15</v>
      </c>
      <c r="Z82" s="151">
        <f t="shared" si="32"/>
        <v>0.15</v>
      </c>
      <c r="AA82" s="151">
        <f t="shared" si="32"/>
        <v>0.15</v>
      </c>
      <c r="AB82" s="151">
        <f t="shared" si="32"/>
        <v>0.15</v>
      </c>
      <c r="AC82" s="151">
        <f t="shared" si="32"/>
        <v>0.15</v>
      </c>
      <c r="AD82" s="151">
        <f t="shared" si="32"/>
        <v>0.15</v>
      </c>
      <c r="AE82" s="151">
        <f t="shared" si="32"/>
        <v>0.15</v>
      </c>
      <c r="AF82" s="151">
        <f t="shared" si="32"/>
        <v>0.15</v>
      </c>
      <c r="AG82" s="151">
        <f t="shared" si="32"/>
        <v>0.15</v>
      </c>
      <c r="AH82" s="151">
        <f t="shared" si="32"/>
        <v>0.15</v>
      </c>
      <c r="AI82" s="62"/>
      <c r="AJ82" s="62"/>
      <c r="AK82" s="62" t="s">
        <v>472</v>
      </c>
    </row>
    <row r="83">
      <c r="A83" s="1"/>
      <c r="B83" s="1"/>
      <c r="C83" s="151">
        <f>IFERROR(__xludf.DUMMYFUNCTION("LET(
    target_regex, ""^5$|^5-3$|^1-2$|^2-2$|^4-3$"",
    IF(REGEXMATCH(TO_TEXT(C78), target_regex),
        IF(B78=""2-1"", 0.5,
        IF(REGEXMATCH(TO_TEXT(B78), target_regex), 0,
            IF(A78=""2-1"", 0.5,
            IF(REGEXMATCH(TO_TEXT(A7"&amp;"8), target_regex), 0,
                IF(#REF!=""2-1"", 0.5,
                IF(REGEXMATCH(TO_TEXT(#REF!), target_regex), 0,
                    IF(#REF!=""2-1"", 0.5,
                    IF(REGEXMATCH(TO_TEXT(#REF!), target_regex), 0, """")
             "&amp;"       )
                ))
            ))
        )),
    """")
)*IF($F$23=""전진"", 1, 0)"),0.0)</f>
        <v>0</v>
      </c>
      <c r="D83" s="151">
        <f>IFERROR(__xludf.DUMMYFUNCTION("LET(
    target_regex, ""^5$|^5-3$|^1-2$|^2-2$|^4-3$"",
    IF(REGEXMATCH(TO_TEXT(D78), target_regex),
        IF(C78=""2-1"", 0.5,
        IF(REGEXMATCH(TO_TEXT(C78), target_regex), 0,
            IF(B78=""2-1"", 0.5,
            IF(REGEXMATCH(TO_TEXT(B7"&amp;"8), target_regex), 0,
                IF(A78=""2-1"", 0.5,
                IF(REGEXMATCH(TO_TEXT(A78), target_regex), 0,
                    IF(#REF!=""2-1"", 0.5,
                    IF(REGEXMATCH(TO_TEXT(#REF!), target_regex), 0, """")
                 "&amp;"   )
                ))
            ))
        )),
    """")
)*IF($F$23=""전진"", 1, 0)"),0.0)</f>
        <v>0</v>
      </c>
      <c r="E83" s="151">
        <f>IFERROR(__xludf.DUMMYFUNCTION("LET(
    target_regex, ""^5$|^5-3$|^1-2$|^2-2$|^4-3$"",
    IF(REGEXMATCH(TO_TEXT(E78), target_regex),
        IF(D78=""2-1"", 0.5,
        IF(REGEXMATCH(TO_TEXT(D78), target_regex), 0,
            IF(C78=""2-1"", 0.5,
            IF(REGEXMATCH(TO_TEXT(C7"&amp;"8), target_regex), 0,
                IF(B78=""2-1"", 0.5,
                IF(REGEXMATCH(TO_TEXT(B78), target_regex), 0,
                    IF(A78=""2-1"", 0.5,
                    IF(REGEXMATCH(TO_TEXT(A78), target_regex), 0, """")
                    )"&amp;"
                ))
            ))
        )),
    """")
)*IF($F$23=""전진"", 1, 0)"),0.5)</f>
        <v>0.5</v>
      </c>
      <c r="F83" s="151">
        <f>IFERROR(__xludf.DUMMYFUNCTION("LET(
    target_regex, ""^5$|^5-3$|^1-2$|^2-2$|^4-3$"",
    IF(REGEXMATCH(TO_TEXT(F78), target_regex),
        IF(E78=""2-1"", 0.5,
        IF(REGEXMATCH(TO_TEXT(E78), target_regex), 0,
            IF(D78=""2-1"", 0.5,
            IF(REGEXMATCH(TO_TEXT(D7"&amp;"8), target_regex), 0,
                IF(C78=""2-1"", 0.5,
                IF(REGEXMATCH(TO_TEXT(C78), target_regex), 0,
                    IF(B78=""2-1"", 0.5,
                    IF(REGEXMATCH(TO_TEXT(B78), target_regex), 0, """")
                    )"&amp;"
                ))
            ))
        )),
    """")
)*IF($F$23=""전진"", 1, 0)"),0.0)</f>
        <v>0</v>
      </c>
      <c r="G83" s="151">
        <f>IFERROR(__xludf.DUMMYFUNCTION("LET(
    target_regex, ""^5$|^5-3$|^1-2$|^2-2$|^4-3$"",
    IF(REGEXMATCH(TO_TEXT(G78), target_regex),
        IF(F78=""2-1"", 0.5,
        IF(REGEXMATCH(TO_TEXT(F78), target_regex), 0,
            IF(E78=""2-1"", 0.5,
            IF(REGEXMATCH(TO_TEXT(E7"&amp;"8), target_regex), 0,
                IF(D78=""2-1"", 0.5,
                IF(REGEXMATCH(TO_TEXT(D78), target_regex), 0,
                    IF(C78=""2-1"", 0.5,
                    IF(REGEXMATCH(TO_TEXT(C78), target_regex), 0, """")
                    )"&amp;"
                ))
            ))
        )),
    """")
)*IF($F$23=""전진"", 1, 0)"),0.0)</f>
        <v>0</v>
      </c>
      <c r="H83" s="151">
        <f>IFERROR(__xludf.DUMMYFUNCTION("LET(
    target_regex, ""^5$|^5-3$|^1-2$|^2-2$|^4-3$"",
    IF(REGEXMATCH(TO_TEXT(H78), target_regex),
        IF(G78=""2-1"", 0.5,
        IF(REGEXMATCH(TO_TEXT(G78), target_regex), 0,
            IF(F78=""2-1"", 0.5,
            IF(REGEXMATCH(TO_TEXT(F7"&amp;"8), target_regex), 0,
                IF(E78=""2-1"", 0.5,
                IF(REGEXMATCH(TO_TEXT(E78), target_regex), 0,
                    IF(D78=""2-1"", 0.5,
                    IF(REGEXMATCH(TO_TEXT(D78), target_regex), 0, """")
                    )"&amp;"
                ))
            ))
        )),
    """")
)*IF($F$23=""전진"", 1, 0)"),0.0)</f>
        <v>0</v>
      </c>
      <c r="I83" s="151">
        <f>IFERROR(__xludf.DUMMYFUNCTION("LET(
    target_regex, ""^5$|^5-3$|^1-2$|^2-2$|^4-3$"",
    IF(REGEXMATCH(TO_TEXT(I78), target_regex),
        IF(H78=""2-1"", 0.5,
        IF(REGEXMATCH(TO_TEXT(H78), target_regex), 0,
            IF(G78=""2-1"", 0.5,
            IF(REGEXMATCH(TO_TEXT(G7"&amp;"8), target_regex), 0,
                IF(F78=""2-1"", 0.5,
                IF(REGEXMATCH(TO_TEXT(F78), target_regex), 0,
                    IF(E78=""2-1"", 0.5,
                    IF(REGEXMATCH(TO_TEXT(E78), target_regex), 0, """")
                    )"&amp;"
                ))
            ))
        )),
    """")
)*IF($F$23=""전진"", 1, 0)"),0.0)</f>
        <v>0</v>
      </c>
      <c r="J83" s="151">
        <f>IFERROR(__xludf.DUMMYFUNCTION("LET(
    target_regex, ""^5$|^5-3$|^1-2$|^2-2$|^4-3$"",
    IF(REGEXMATCH(TO_TEXT(J78), target_regex),
        IF(I78=""2-1"", 0.5,
        IF(REGEXMATCH(TO_TEXT(I78), target_regex), 0,
            IF(H78=""2-1"", 0.5,
            IF(REGEXMATCH(TO_TEXT(H7"&amp;"8), target_regex), 0,
                IF(G78=""2-1"", 0.5,
                IF(REGEXMATCH(TO_TEXT(G78), target_regex), 0,
                    IF(F78=""2-1"", 0.5,
                    IF(REGEXMATCH(TO_TEXT(F78), target_regex), 0, """")
                    )"&amp;"
                ))
            ))
        )),
    """")
)*IF($F$23=""전진"", 1, 0)"),0.0)</f>
        <v>0</v>
      </c>
      <c r="K83" s="151">
        <f>IFERROR(__xludf.DUMMYFUNCTION("LET(
    target_regex, ""^5$|^5-3$|^1-2$|^2-2$|^4-3$"",
    IF(REGEXMATCH(TO_TEXT(K78), target_regex),
        IF(J78=""2-1"", 0.5,
        IF(REGEXMATCH(TO_TEXT(J78), target_regex), 0,
            IF(I78=""2-1"", 0.5,
            IF(REGEXMATCH(TO_TEXT(I7"&amp;"8), target_regex), 0,
                IF(H78=""2-1"", 0.5,
                IF(REGEXMATCH(TO_TEXT(H78), target_regex), 0,
                    IF(G78=""2-1"", 0.5,
                    IF(REGEXMATCH(TO_TEXT(G78), target_regex), 0, """")
                    )"&amp;"
                ))
            ))
        )),
    """")
)*IF($F$23=""전진"", 1, 0)"),0.0)</f>
        <v>0</v>
      </c>
      <c r="L83" s="151">
        <f>IFERROR(__xludf.DUMMYFUNCTION("LET(
    target_regex, ""^5$|^5-3$|^1-2$|^2-2$|^4-3$"",
    IF(REGEXMATCH(TO_TEXT(L78), target_regex),
        IF(K78=""2-1"", 0.5,
        IF(REGEXMATCH(TO_TEXT(K78), target_regex), 0,
            IF(J78=""2-1"", 0.5,
            IF(REGEXMATCH(TO_TEXT(J7"&amp;"8), target_regex), 0,
                IF(I78=""2-1"", 0.5,
                IF(REGEXMATCH(TO_TEXT(I78), target_regex), 0,
                    IF(H78=""2-1"", 0.5,
                    IF(REGEXMATCH(TO_TEXT(H78), target_regex), 0, """")
                    )"&amp;"
                ))
            ))
        )),
    """")
)*IF($F$23=""전진"", 1, 0)"),0.0)</f>
        <v>0</v>
      </c>
      <c r="M83" s="151">
        <f>IFERROR(__xludf.DUMMYFUNCTION("LET(
    target_regex, ""^5$|^5-3$|^1-2$|^2-2$|^4-3$"",
    IF(REGEXMATCH(TO_TEXT(M78), target_regex),
        IF(L78=""2-1"", 0.5,
        IF(REGEXMATCH(TO_TEXT(L78), target_regex), 0,
            IF(K78=""2-1"", 0.5,
            IF(REGEXMATCH(TO_TEXT(K7"&amp;"8), target_regex), 0,
                IF(J78=""2-1"", 0.5,
                IF(REGEXMATCH(TO_TEXT(J78), target_regex), 0,
                    IF(I78=""2-1"", 0.5,
                    IF(REGEXMATCH(TO_TEXT(I78), target_regex), 0, """")
                    )"&amp;"
                ))
            ))
        )),
    """")
)*IF($F$23=""전진"", 1, 0)"),0.0)</f>
        <v>0</v>
      </c>
      <c r="N83" s="151">
        <f>IFERROR(__xludf.DUMMYFUNCTION("LET(
    target_regex, ""^5$|^5-3$|^1-2$|^2-2$|^4-3$"",
    IF(REGEXMATCH(TO_TEXT(N78), target_regex),
        IF(M78=""2-1"", 0.5,
        IF(REGEXMATCH(TO_TEXT(M78), target_regex), 0,
            IF(L78=""2-1"", 0.5,
            IF(REGEXMATCH(TO_TEXT(L7"&amp;"8), target_regex), 0,
                IF(K78=""2-1"", 0.5,
                IF(REGEXMATCH(TO_TEXT(K78), target_regex), 0,
                    IF(J78=""2-1"", 0.5,
                    IF(REGEXMATCH(TO_TEXT(J78), target_regex), 0, """")
                    )"&amp;"
                ))
            ))
        )),
    """")
)*IF($F$23=""전진"", 1, 0)"),0.0)</f>
        <v>0</v>
      </c>
      <c r="O83" s="151">
        <f>IFERROR(__xludf.DUMMYFUNCTION("LET(
    target_regex, ""^5$|^5-3$|^1-2$|^2-2$|^4-3$"",
    IF(REGEXMATCH(TO_TEXT(O78), target_regex),
        IF(N78=""2-1"", 0.5,
        IF(REGEXMATCH(TO_TEXT(N78), target_regex), 0,
            IF(M78=""2-1"", 0.5,
            IF(REGEXMATCH(TO_TEXT(M7"&amp;"8), target_regex), 0,
                IF(L78=""2-1"", 0.5,
                IF(REGEXMATCH(TO_TEXT(L78), target_regex), 0,
                    IF(K78=""2-1"", 0.5,
                    IF(REGEXMATCH(TO_TEXT(K78), target_regex), 0, """")
                    )"&amp;"
                ))
            ))
        )),
    """")
)*IF($F$23=""전진"", 1, 0)"),0.0)</f>
        <v>0</v>
      </c>
      <c r="P83" s="151">
        <f>IFERROR(__xludf.DUMMYFUNCTION("LET(
    target_regex, ""^5$|^5-3$|^1-2$|^2-2$|^4-3$"",
    IF(REGEXMATCH(TO_TEXT(P78), target_regex),
        IF(O78=""2-1"", 0.5,
        IF(REGEXMATCH(TO_TEXT(O78), target_regex), 0,
            IF(N78=""2-1"", 0.5,
            IF(REGEXMATCH(TO_TEXT(N7"&amp;"8), target_regex), 0,
                IF(M78=""2-1"", 0.5,
                IF(REGEXMATCH(TO_TEXT(M78), target_regex), 0,
                    IF(L78=""2-1"", 0.5,
                    IF(REGEXMATCH(TO_TEXT(L78), target_regex), 0, """")
                    )"&amp;"
                ))
            ))
        )),
    """")
)*IF($F$23=""전진"", 1, 0)"),0.0)</f>
        <v>0</v>
      </c>
      <c r="Q83" s="151">
        <f>IFERROR(__xludf.DUMMYFUNCTION("LET(
    target_regex, ""^5$|^5-3$|^1-2$|^2-2$|^4-3$"",
    IF(REGEXMATCH(TO_TEXT(Q78), target_regex),
        IF(P78=""2-1"", 0.5,
        IF(REGEXMATCH(TO_TEXT(P78), target_regex), 0,
            IF(O78=""2-1"", 0.5,
            IF(REGEXMATCH(TO_TEXT(O7"&amp;"8), target_regex), 0,
                IF(N78=""2-1"", 0.5,
                IF(REGEXMATCH(TO_TEXT(N78), target_regex), 0,
                    IF(M78=""2-1"", 0.5,
                    IF(REGEXMATCH(TO_TEXT(M78), target_regex), 0, """")
                    )"&amp;"
                ))
            ))
        )),
    """")
)*IF($F$23=""전진"", 1, 0)"),0.0)</f>
        <v>0</v>
      </c>
      <c r="R83" s="151">
        <f>IFERROR(__xludf.DUMMYFUNCTION("LET(
    target_regex, ""^5$|^5-3$|^1-2$|^2-2$|^4-3$"",
    IF(REGEXMATCH(TO_TEXT(R78), target_regex),
        IF(Q78=""2-1"", 0.5,
        IF(REGEXMATCH(TO_TEXT(Q78), target_regex), 0,
            IF(P78=""2-1"", 0.5,
            IF(REGEXMATCH(TO_TEXT(P7"&amp;"8), target_regex), 0,
                IF(O78=""2-1"", 0.5,
                IF(REGEXMATCH(TO_TEXT(O78), target_regex), 0,
                    IF(N78=""2-1"", 0.5,
                    IF(REGEXMATCH(TO_TEXT(N78), target_regex), 0, """")
                    )"&amp;"
                ))
            ))
        )),
    """")
)*IF($F$23=""전진"", 1, 0)"),0.0)</f>
        <v>0</v>
      </c>
      <c r="S83" s="151">
        <f>IFERROR(__xludf.DUMMYFUNCTION("LET(
    target_regex, ""^5$|^5-3$|^1-2$|^2-2$|^4-3$"",
    IF(REGEXMATCH(TO_TEXT(S78), target_regex),
        IF(R78=""2-1"", 0.5,
        IF(REGEXMATCH(TO_TEXT(R78), target_regex), 0,
            IF(Q78=""2-1"", 0.5,
            IF(REGEXMATCH(TO_TEXT(Q7"&amp;"8), target_regex), 0,
                IF(P78=""2-1"", 0.5,
                IF(REGEXMATCH(TO_TEXT(P78), target_regex), 0,
                    IF(O78=""2-1"", 0.5,
                    IF(REGEXMATCH(TO_TEXT(O78), target_regex), 0, """")
                    )"&amp;"
                ))
            ))
        )),
    """")
)*IF($F$23=""전진"", 1, 0)"),0.0)</f>
        <v>0</v>
      </c>
      <c r="T83" s="151">
        <f>IFERROR(__xludf.DUMMYFUNCTION("LET(
    target_regex, ""^5$|^5-3$|^1-2$|^2-2$|^4-3$"",
    IF(REGEXMATCH(TO_TEXT(T78), target_regex),
        IF(S78=""2-1"", 0.5,
        IF(REGEXMATCH(TO_TEXT(S78), target_regex), 0,
            IF(R78=""2-1"", 0.5,
            IF(REGEXMATCH(TO_TEXT(R7"&amp;"8), target_regex), 0,
                IF(Q78=""2-1"", 0.5,
                IF(REGEXMATCH(TO_TEXT(Q78), target_regex), 0,
                    IF(P78=""2-1"", 0.5,
                    IF(REGEXMATCH(TO_TEXT(P78), target_regex), 0, """")
                    )"&amp;"
                ))
            ))
        )),
    """")
)*IF($F$23=""전진"", 1, 0)"),0.0)</f>
        <v>0</v>
      </c>
      <c r="U83" s="151">
        <f>IFERROR(__xludf.DUMMYFUNCTION("LET(
    target_regex, ""^5$|^5-3$|^1-2$|^2-2$|^4-3$"",
    IF(REGEXMATCH(TO_TEXT(U78), target_regex),
        IF(T78=""2-1"", 0.5,
        IF(REGEXMATCH(TO_TEXT(T78), target_regex), 0,
            IF(S78=""2-1"", 0.5,
            IF(REGEXMATCH(TO_TEXT(S7"&amp;"8), target_regex), 0,
                IF(R78=""2-1"", 0.5,
                IF(REGEXMATCH(TO_TEXT(R78), target_regex), 0,
                    IF(Q78=""2-1"", 0.5,
                    IF(REGEXMATCH(TO_TEXT(Q78), target_regex), 0, """")
                    )"&amp;"
                ))
            ))
        )),
    """")
)*IF($F$23=""전진"", 1, 0)"),0.0)</f>
        <v>0</v>
      </c>
      <c r="V83" s="151">
        <f>IFERROR(__xludf.DUMMYFUNCTION("LET(
    target_regex, ""^5$|^5-3$|^1-2$|^2-2$|^4-3$"",
    IF(REGEXMATCH(TO_TEXT(V78), target_regex),
        IF(U78=""2-1"", 0.5,
        IF(REGEXMATCH(TO_TEXT(U78), target_regex), 0,
            IF(T78=""2-1"", 0.5,
            IF(REGEXMATCH(TO_TEXT(T7"&amp;"8), target_regex), 0,
                IF(S78=""2-1"", 0.5,
                IF(REGEXMATCH(TO_TEXT(S78), target_regex), 0,
                    IF(R78=""2-1"", 0.5,
                    IF(REGEXMATCH(TO_TEXT(R78), target_regex), 0, """")
                    )"&amp;"
                ))
            ))
        )),
    """")
)*IF($F$23=""전진"", 1, 0)"),0.0)</f>
        <v>0</v>
      </c>
      <c r="W83" s="151">
        <f>IFERROR(__xludf.DUMMYFUNCTION("LET(
    target_regex, ""^5$|^5-3$|^1-2$|^2-2$|^4-3$"",
    IF(REGEXMATCH(TO_TEXT(W78), target_regex),
        IF(V78=""2-1"", 0.5,
        IF(REGEXMATCH(TO_TEXT(V78), target_regex), 0,
            IF(U78=""2-1"", 0.5,
            IF(REGEXMATCH(TO_TEXT(U7"&amp;"8), target_regex), 0,
                IF(T78=""2-1"", 0.5,
                IF(REGEXMATCH(TO_TEXT(T78), target_regex), 0,
                    IF(S78=""2-1"", 0.5,
                    IF(REGEXMATCH(TO_TEXT(S78), target_regex), 0, """")
                    )"&amp;"
                ))
            ))
        )),
    """")
)*IF($F$23=""전진"", 1, 0)"),0.0)</f>
        <v>0</v>
      </c>
      <c r="X83" s="151">
        <f>IFERROR(__xludf.DUMMYFUNCTION("LET(
    target_regex, ""^5$|^5-3$|^1-2$|^2-2$|^4-3$"",
    IF(REGEXMATCH(TO_TEXT(X78), target_regex),
        IF(W78=""2-1"", 0.5,
        IF(REGEXMATCH(TO_TEXT(W78), target_regex), 0,
            IF(V78=""2-1"", 0.5,
            IF(REGEXMATCH(TO_TEXT(V7"&amp;"8), target_regex), 0,
                IF(U78=""2-1"", 0.5,
                IF(REGEXMATCH(TO_TEXT(U78), target_regex), 0,
                    IF(T78=""2-1"", 0.5,
                    IF(REGEXMATCH(TO_TEXT(T78), target_regex), 0, """")
                    )"&amp;"
                ))
            ))
        )),
    """")
)*IF($F$23=""전진"", 1, 0)"),0.0)</f>
        <v>0</v>
      </c>
      <c r="Y83" s="151">
        <f>IFERROR(__xludf.DUMMYFUNCTION("LET(
    target_regex, ""^5$|^5-3$|^1-2$|^2-2$|^4-3$"",
    IF(REGEXMATCH(TO_TEXT(Y78), target_regex),
        IF(X78=""2-1"", 0.5,
        IF(REGEXMATCH(TO_TEXT(X78), target_regex), 0,
            IF(W78=""2-1"", 0.5,
            IF(REGEXMATCH(TO_TEXT(W7"&amp;"8), target_regex), 0,
                IF(V78=""2-1"", 0.5,
                IF(REGEXMATCH(TO_TEXT(V78), target_regex), 0,
                    IF(U78=""2-1"", 0.5,
                    IF(REGEXMATCH(TO_TEXT(U78), target_regex), 0, """")
                    )"&amp;"
                ))
            ))
        )),
    """")
)*IF($F$23=""전진"", 1, 0)"),0.0)</f>
        <v>0</v>
      </c>
      <c r="Z83" s="151">
        <f>IFERROR(__xludf.DUMMYFUNCTION("LET(
    target_regex, ""^5$|^5-3$|^1-2$|^2-2$|^4-3$"",
    IF(REGEXMATCH(TO_TEXT(Z78), target_regex),
        IF(Y78=""2-1"", 0.5,
        IF(REGEXMATCH(TO_TEXT(Y78), target_regex), 0,
            IF(X78=""2-1"", 0.5,
            IF(REGEXMATCH(TO_TEXT(X7"&amp;"8), target_regex), 0,
                IF(W78=""2-1"", 0.5,
                IF(REGEXMATCH(TO_TEXT(W78), target_regex), 0,
                    IF(V78=""2-1"", 0.5,
                    IF(REGEXMATCH(TO_TEXT(V78), target_regex), 0, """")
                    )"&amp;"
                ))
            ))
        )),
    """")
)*IF($F$23=""전진"", 1, 0)"),0.0)</f>
        <v>0</v>
      </c>
      <c r="AA83" s="151">
        <f>IFERROR(__xludf.DUMMYFUNCTION("LET(
    target_regex, ""^5$|^5-3$|^1-2$|^2-2$|^4-3$"",
    IF(REGEXMATCH(TO_TEXT(AA78), target_regex),
        IF(Z78=""2-1"", 0.5,
        IF(REGEXMATCH(TO_TEXT(Z78), target_regex), 0,
            IF(Y78=""2-1"", 0.5,
            IF(REGEXMATCH(TO_TEXT(Y"&amp;"78), target_regex), 0,
                IF(X78=""2-1"", 0.5,
                IF(REGEXMATCH(TO_TEXT(X78), target_regex), 0,
                    IF(W78=""2-1"", 0.5,
                    IF(REGEXMATCH(TO_TEXT(W78), target_regex), 0, """")
                    "&amp;")
                ))
            ))
        )),
    """")
)*IF($F$23=""전진"", 1, 0)"),0.0)</f>
        <v>0</v>
      </c>
      <c r="AB83" s="151">
        <f>IFERROR(__xludf.DUMMYFUNCTION("LET(
    target_regex, ""^5$|^5-3$|^1-2$|^2-2$|^4-3$"",
    IF(REGEXMATCH(TO_TEXT(AB78), target_regex),
        IF(AA78=""2-1"", 0.5,
        IF(REGEXMATCH(TO_TEXT(AA78), target_regex), 0,
            IF(Z78=""2-1"", 0.5,
            IF(REGEXMATCH(TO_TEXT"&amp;"(Z78), target_regex), 0,
                IF(Y78=""2-1"", 0.5,
                IF(REGEXMATCH(TO_TEXT(Y78), target_regex), 0,
                    IF(X78=""2-1"", 0.5,
                    IF(REGEXMATCH(TO_TEXT(X78), target_regex), 0, """")
                  "&amp;"  )
                ))
            ))
        )),
    """")
)*IF($F$23=""전진"", 1, 0)"),0.0)</f>
        <v>0</v>
      </c>
      <c r="AC83" s="151">
        <f>IFERROR(__xludf.DUMMYFUNCTION("LET(
    target_regex, ""^5$|^5-3$|^1-2$|^2-2$|^4-3$"",
    IF(REGEXMATCH(TO_TEXT(AC78), target_regex),
        IF(AB78=""2-1"", 0.5,
        IF(REGEXMATCH(TO_TEXT(AB78), target_regex), 0,
            IF(AA78=""2-1"", 0.5,
            IF(REGEXMATCH(TO_TEX"&amp;"T(AA78), target_regex), 0,
                IF(Z78=""2-1"", 0.5,
                IF(REGEXMATCH(TO_TEXT(Z78), target_regex), 0,
                    IF(Y78=""2-1"", 0.5,
                    IF(REGEXMATCH(TO_TEXT(Y78), target_regex), 0, """")
                "&amp;"    )
                ))
            ))
        )),
    """")
)*IF($F$23=""전진"", 1, 0)"),0.0)</f>
        <v>0</v>
      </c>
      <c r="AD83" s="151">
        <f>IFERROR(__xludf.DUMMYFUNCTION("LET(
    target_regex, ""^5$|^5-3$|^1-2$|^2-2$|^4-3$"",
    IF(REGEXMATCH(TO_TEXT(AD78), target_regex),
        IF(AC78=""2-1"", 0.5,
        IF(REGEXMATCH(TO_TEXT(AC78), target_regex), 0,
            IF(AB78=""2-1"", 0.5,
            IF(REGEXMATCH(TO_TEX"&amp;"T(AB78), target_regex), 0,
                IF(AA78=""2-1"", 0.5,
                IF(REGEXMATCH(TO_TEXT(AA78), target_regex), 0,
                    IF(Z78=""2-1"", 0.5,
                    IF(REGEXMATCH(TO_TEXT(Z78), target_regex), 0, """")
              "&amp;"      )
                ))
            ))
        )),
    """")
)*IF($F$23=""전진"", 1, 0)"),0.0)</f>
        <v>0</v>
      </c>
      <c r="AE83" s="151">
        <f>IFERROR(__xludf.DUMMYFUNCTION("LET(
    target_regex, ""^5$|^5-3$|^1-2$|^2-2$|^4-3$"",
    IF(REGEXMATCH(TO_TEXT(AE78), target_regex),
        IF(AD78=""2-1"", 0.5,
        IF(REGEXMATCH(TO_TEXT(AD78), target_regex), 0,
            IF(AC78=""2-1"", 0.5,
            IF(REGEXMATCH(TO_TEX"&amp;"T(AC78), target_regex), 0,
                IF(AB78=""2-1"", 0.5,
                IF(REGEXMATCH(TO_TEXT(AB78), target_regex), 0,
                    IF(AA78=""2-1"", 0.5,
                    IF(REGEXMATCH(TO_TEXT(AA78), target_regex), 0, """")
            "&amp;"        )
                ))
            ))
        )),
    """")
)*IF($F$23=""전진"", 1, 0)"),0.0)</f>
        <v>0</v>
      </c>
      <c r="AF83" s="151">
        <f>IFERROR(__xludf.DUMMYFUNCTION("LET(
    target_regex, ""^5$|^5-3$|^1-2$|^2-2$|^4-3$"",
    IF(REGEXMATCH(TO_TEXT(AF78), target_regex),
        IF(AE78=""2-1"", 0.5,
        IF(REGEXMATCH(TO_TEXT(AE78), target_regex), 0,
            IF(AD78=""2-1"", 0.5,
            IF(REGEXMATCH(TO_TEX"&amp;"T(AD78), target_regex), 0,
                IF(AC78=""2-1"", 0.5,
                IF(REGEXMATCH(TO_TEXT(AC78), target_regex), 0,
                    IF(AB78=""2-1"", 0.5,
                    IF(REGEXMATCH(TO_TEXT(AB78), target_regex), 0, """")
            "&amp;"        )
                ))
            ))
        )),
    """")
)*IF($F$23=""전진"", 1, 0)"),0.0)</f>
        <v>0</v>
      </c>
      <c r="AG83" s="151">
        <f>IFERROR(__xludf.DUMMYFUNCTION("LET(
    target_regex, ""^5$|^5-3$|^1-2$|^2-2$|^4-3$"",
    IF(REGEXMATCH(TO_TEXT(AG78), target_regex),
        IF(AF78=""2-1"", 0.5,
        IF(REGEXMATCH(TO_TEXT(AF78), target_regex), 0,
            IF(AE78=""2-1"", 0.5,
            IF(REGEXMATCH(TO_TEX"&amp;"T(AE78), target_regex), 0,
                IF(AD78=""2-1"", 0.5,
                IF(REGEXMATCH(TO_TEXT(AD78), target_regex), 0,
                    IF(AC78=""2-1"", 0.5,
                    IF(REGEXMATCH(TO_TEXT(AC78), target_regex), 0, """")
            "&amp;"        )
                ))
            ))
        )),
    """")
)*IF($F$23=""전진"", 1, 0)"),0.0)</f>
        <v>0</v>
      </c>
      <c r="AH83" s="151">
        <f>IFERROR(__xludf.DUMMYFUNCTION("LET(
    target_regex, ""^5$|^5-3$|^1-2$|^2-2$|^4-3$"",
    IF(REGEXMATCH(TO_TEXT(AH78), target_regex),
        IF(AG78=""2-1"", 0.5,
        IF(REGEXMATCH(TO_TEXT(AG78), target_regex), 0,
            IF(AF78=""2-1"", 0.5,
            IF(REGEXMATCH(TO_TEX"&amp;"T(AF78), target_regex), 0,
                IF(AE78=""2-1"", 0.5,
                IF(REGEXMATCH(TO_TEXT(AE78), target_regex), 0,
                    IF(AD78=""2-1"", 0.5,
                    IF(REGEXMATCH(TO_TEXT(AD78), target_regex), 0, """")
            "&amp;"        )
                ))
            ))
        )),
    """")
)*IF($F$23=""전진"", 1, 0)"),0.0)</f>
        <v>0</v>
      </c>
      <c r="AI83" s="62"/>
      <c r="AJ83" s="62"/>
      <c r="AK83" s="62" t="s">
        <v>473</v>
      </c>
    </row>
    <row r="84">
      <c r="A84" s="1"/>
      <c r="B84" s="1"/>
      <c r="C84" s="151" t="str">
        <f t="shared" ref="C84:AH84" si="33">IF(AND(B78="3", C78&lt;&gt;"3"), 0.5, "")</f>
        <v/>
      </c>
      <c r="D84" s="1" t="str">
        <f t="shared" si="33"/>
        <v/>
      </c>
      <c r="E84" s="1" t="str">
        <f t="shared" si="33"/>
        <v/>
      </c>
      <c r="F84" s="1" t="str">
        <f t="shared" si="33"/>
        <v/>
      </c>
      <c r="G84" s="151" t="str">
        <f t="shared" si="33"/>
        <v/>
      </c>
      <c r="H84" s="1" t="str">
        <f t="shared" si="33"/>
        <v/>
      </c>
      <c r="I84" s="1" t="str">
        <f t="shared" si="33"/>
        <v/>
      </c>
      <c r="J84" s="1" t="str">
        <f t="shared" si="33"/>
        <v/>
      </c>
      <c r="K84" s="151" t="str">
        <f t="shared" si="33"/>
        <v/>
      </c>
      <c r="L84" s="1" t="str">
        <f t="shared" si="33"/>
        <v/>
      </c>
      <c r="M84" s="1" t="str">
        <f t="shared" si="33"/>
        <v/>
      </c>
      <c r="N84" s="1" t="str">
        <f t="shared" si="33"/>
        <v/>
      </c>
      <c r="O84" s="151" t="str">
        <f t="shared" si="33"/>
        <v/>
      </c>
      <c r="P84" s="1" t="str">
        <f t="shared" si="33"/>
        <v/>
      </c>
      <c r="Q84" s="1" t="str">
        <f t="shared" si="33"/>
        <v/>
      </c>
      <c r="R84" s="1" t="str">
        <f t="shared" si="33"/>
        <v/>
      </c>
      <c r="S84" s="1" t="str">
        <f t="shared" si="33"/>
        <v/>
      </c>
      <c r="T84" s="1" t="str">
        <f t="shared" si="33"/>
        <v/>
      </c>
      <c r="U84" s="1" t="str">
        <f t="shared" si="33"/>
        <v/>
      </c>
      <c r="V84" s="1" t="str">
        <f t="shared" si="33"/>
        <v/>
      </c>
      <c r="W84" s="1" t="str">
        <f t="shared" si="33"/>
        <v/>
      </c>
      <c r="X84" s="1" t="str">
        <f t="shared" si="33"/>
        <v/>
      </c>
      <c r="Y84" s="1" t="str">
        <f t="shared" si="33"/>
        <v/>
      </c>
      <c r="Z84" s="1" t="str">
        <f t="shared" si="33"/>
        <v/>
      </c>
      <c r="AA84" s="1" t="str">
        <f t="shared" si="33"/>
        <v/>
      </c>
      <c r="AB84" s="1" t="str">
        <f t="shared" si="33"/>
        <v/>
      </c>
      <c r="AC84" s="1" t="str">
        <f t="shared" si="33"/>
        <v/>
      </c>
      <c r="AD84" s="1" t="str">
        <f t="shared" si="33"/>
        <v/>
      </c>
      <c r="AE84" s="1" t="str">
        <f t="shared" si="33"/>
        <v/>
      </c>
      <c r="AF84" s="1" t="str">
        <f t="shared" si="33"/>
        <v/>
      </c>
      <c r="AG84" s="1" t="str">
        <f t="shared" si="33"/>
        <v/>
      </c>
      <c r="AH84" s="1" t="str">
        <f t="shared" si="33"/>
        <v/>
      </c>
      <c r="AI84" s="62"/>
      <c r="AJ84" s="62"/>
      <c r="AK84" s="62" t="s">
        <v>474</v>
      </c>
    </row>
    <row r="85">
      <c r="A85" s="1"/>
      <c r="B85" s="1"/>
      <c r="C85" s="257">
        <f>'종합'!$K$9</f>
        <v>0.3959952941</v>
      </c>
      <c r="D85" s="257">
        <f>'종합'!$K$9</f>
        <v>0.3959952941</v>
      </c>
      <c r="E85" s="257">
        <f>'종합'!$K$9</f>
        <v>0.3959952941</v>
      </c>
      <c r="F85" s="257">
        <f>'종합'!$K$9</f>
        <v>0.3959952941</v>
      </c>
      <c r="G85" s="257">
        <f>'종합'!$K$9</f>
        <v>0.3959952941</v>
      </c>
      <c r="H85" s="257">
        <f>'종합'!$K$9</f>
        <v>0.3959952941</v>
      </c>
      <c r="I85" s="257">
        <f>'종합'!$K$9</f>
        <v>0.3959952941</v>
      </c>
      <c r="J85" s="257">
        <f>'종합'!$K$9</f>
        <v>0.3959952941</v>
      </c>
      <c r="K85" s="257">
        <f>'종합'!$K$9</f>
        <v>0.3959952941</v>
      </c>
      <c r="L85" s="257">
        <f>'종합'!$K$9</f>
        <v>0.3959952941</v>
      </c>
      <c r="M85" s="257">
        <f>'종합'!$K$9</f>
        <v>0.3959952941</v>
      </c>
      <c r="N85" s="257">
        <f>'종합'!$K$9</f>
        <v>0.3959952941</v>
      </c>
      <c r="O85" s="257">
        <f>'종합'!$K$9</f>
        <v>0.3959952941</v>
      </c>
      <c r="P85" s="257">
        <f>'종합'!$K$9</f>
        <v>0.3959952941</v>
      </c>
      <c r="Q85" s="257">
        <f>'종합'!$K$9</f>
        <v>0.3959952941</v>
      </c>
      <c r="R85" s="257">
        <f>'종합'!$K$9</f>
        <v>0.3959952941</v>
      </c>
      <c r="S85" s="257">
        <f>'종합'!$K$9</f>
        <v>0.3959952941</v>
      </c>
      <c r="T85" s="257">
        <f>'종합'!$K$9</f>
        <v>0.3959952941</v>
      </c>
      <c r="U85" s="257">
        <f>'종합'!$K$9</f>
        <v>0.3959952941</v>
      </c>
      <c r="V85" s="257">
        <f>'종합'!$K$9</f>
        <v>0.3959952941</v>
      </c>
      <c r="W85" s="257">
        <f>'종합'!$K$9</f>
        <v>0.3959952941</v>
      </c>
      <c r="X85" s="257">
        <f>'종합'!$K$9</f>
        <v>0.3959952941</v>
      </c>
      <c r="Y85" s="257">
        <f>'종합'!$K$9</f>
        <v>0.3959952941</v>
      </c>
      <c r="Z85" s="257">
        <f>'종합'!$K$9</f>
        <v>0.3959952941</v>
      </c>
      <c r="AA85" s="257">
        <f>'종합'!$K$9</f>
        <v>0.3959952941</v>
      </c>
      <c r="AB85" s="257">
        <f>'종합'!$K$9</f>
        <v>0.3959952941</v>
      </c>
      <c r="AC85" s="257">
        <f>'종합'!$K$9</f>
        <v>0.3959952941</v>
      </c>
      <c r="AD85" s="257">
        <f>'종합'!$K$9</f>
        <v>0.3959952941</v>
      </c>
      <c r="AE85" s="257">
        <f>'종합'!$K$9</f>
        <v>0.3959952941</v>
      </c>
      <c r="AF85" s="257">
        <f>'종합'!$K$9</f>
        <v>0.3959952941</v>
      </c>
      <c r="AG85" s="257">
        <f>'종합'!$K$9</f>
        <v>0.3959952941</v>
      </c>
      <c r="AH85" s="257">
        <f>'종합'!$K$9</f>
        <v>0.3959952941</v>
      </c>
      <c r="AI85" s="62"/>
      <c r="AJ85" s="62"/>
      <c r="AK85" s="62" t="s">
        <v>235</v>
      </c>
    </row>
    <row r="86">
      <c r="A86" s="1"/>
      <c r="B86" s="1"/>
      <c r="C86" s="257">
        <f>IF($B$23="약점", '종합'!$K$10, '종합'!$K$10*IF(C78="1-1",$AA$3,1))</f>
        <v>0.6300863529</v>
      </c>
      <c r="D86" s="257">
        <f>IF($B$23="약점", '종합'!$K$10, '종합'!$K$10*IF(D78="1-1",$AA$3,1))</f>
        <v>0.6300863529</v>
      </c>
      <c r="E86" s="257">
        <f>IF($B$23="약점", '종합'!$K$10, '종합'!$K$10*IF(E78="1-1",$AA$3,1))</f>
        <v>0.6300863529</v>
      </c>
      <c r="F86" s="257">
        <f>IF($B$23="약점", '종합'!$K$10, '종합'!$K$10*IF(F78="1-1",$AA$3,1))</f>
        <v>0.6300863529</v>
      </c>
      <c r="G86" s="257">
        <f>IF($B$23="약점", '종합'!$K$10, '종합'!$K$10*IF(G78="1-1",$AA$3,1))</f>
        <v>0.6300863529</v>
      </c>
      <c r="H86" s="257">
        <f>IF($B$23="약점", '종합'!$K$10, '종합'!$K$10*IF(H78="1-1",$AA$3,1))</f>
        <v>0.6300863529</v>
      </c>
      <c r="I86" s="257">
        <f>IF($B$23="약점", '종합'!$K$10, '종합'!$K$10*IF(I78="1-1",$AA$3,1))</f>
        <v>0.6300863529</v>
      </c>
      <c r="J86" s="257">
        <f>IF($B$23="약점", '종합'!$K$10, '종합'!$K$10*IF(J78="1-1",$AA$3,1))</f>
        <v>0.6300863529</v>
      </c>
      <c r="K86" s="257">
        <f>IF($B$23="약점", '종합'!$K$10, '종합'!$K$10*IF(K78="1-1",$AA$3,1))</f>
        <v>0.6300863529</v>
      </c>
      <c r="L86" s="257">
        <f>IF($B$23="약점", '종합'!$K$10, '종합'!$K$10*IF(L78="1-1",$AA$3,1))</f>
        <v>0.6300863529</v>
      </c>
      <c r="M86" s="257">
        <f>IF($B$23="약점", '종합'!$K$10, '종합'!$K$10*IF(M78="1-1",$AA$3,1))</f>
        <v>0.6300863529</v>
      </c>
      <c r="N86" s="257">
        <f>IF($B$23="약점", '종합'!$K$10, '종합'!$K$10*IF(N78="1-1",$AA$3,1))</f>
        <v>0.6300863529</v>
      </c>
      <c r="O86" s="257">
        <f>IF($B$23="약점", '종합'!$K$10, '종합'!$K$10*IF(O78="1-1",$AA$3,1))</f>
        <v>0.6300863529</v>
      </c>
      <c r="P86" s="257">
        <f>IF($B$23="약점", '종합'!$K$10, '종합'!$K$10*IF(P78="1-1",$AA$3,1))</f>
        <v>0.6300863529</v>
      </c>
      <c r="Q86" s="257">
        <f>IF($B$23="약점", '종합'!$K$10, '종합'!$K$10*IF(Q78="1-1",$AA$3,1))</f>
        <v>0.6300863529</v>
      </c>
      <c r="R86" s="257">
        <f>IF($B$23="약점", '종합'!$K$10, '종합'!$K$10*IF(R78="1-1",$AA$3,1))</f>
        <v>0.6300863529</v>
      </c>
      <c r="S86" s="257">
        <f>IF($B$23="약점", '종합'!$K$10, '종합'!$K$10*IF(S78="1-1",$AA$3,1))</f>
        <v>0.6300863529</v>
      </c>
      <c r="T86" s="257">
        <f>IF($B$23="약점", '종합'!$K$10, '종합'!$K$10*IF(T78="1-1",$AA$3,1))</f>
        <v>0.6300863529</v>
      </c>
      <c r="U86" s="257">
        <f>IF($B$23="약점", '종합'!$K$10, '종합'!$K$10*IF(U78="1-1",$AA$3,1))</f>
        <v>0.6300863529</v>
      </c>
      <c r="V86" s="257">
        <f>IF($B$23="약점", '종합'!$K$10, '종합'!$K$10*IF(V78="1-1",$AA$3,1))</f>
        <v>0.6300863529</v>
      </c>
      <c r="W86" s="257">
        <f>IF($B$23="약점", '종합'!$K$10, '종합'!$K$10*IF(W78="1-1",$AA$3,1))</f>
        <v>0.6300863529</v>
      </c>
      <c r="X86" s="257">
        <f>IF($B$23="약점", '종합'!$K$10, '종합'!$K$10*IF(X78="1-1",$AA$3,1))</f>
        <v>0.6300863529</v>
      </c>
      <c r="Y86" s="257">
        <f>IF($B$23="약점", '종합'!$K$10, '종합'!$K$10*IF(Y78="1-1",$AA$3,1))</f>
        <v>0.6300863529</v>
      </c>
      <c r="Z86" s="257">
        <f>IF($B$23="약점", '종합'!$K$10, '종합'!$K$10*IF(Z78="1-1",$AA$3,1))</f>
        <v>0.6300863529</v>
      </c>
      <c r="AA86" s="257">
        <f>IF($B$23="약점", '종합'!$K$10, '종합'!$K$10*IF(AA78="1-1",$AA$3,1))</f>
        <v>0.6300863529</v>
      </c>
      <c r="AB86" s="257">
        <f>IF($B$23="약점", '종합'!$K$10, '종합'!$K$10*IF(AB78="1-1",$AA$3,1))</f>
        <v>0.6300863529</v>
      </c>
      <c r="AC86" s="257">
        <f>IF($B$23="약점", '종합'!$K$10, '종합'!$K$10*IF(AC78="1-1",$AA$3,1))</f>
        <v>0.6300863529</v>
      </c>
      <c r="AD86" s="257">
        <f>IF($B$23="약점", '종합'!$K$10, '종합'!$K$10*IF(AD78="1-1",$AA$3,1))</f>
        <v>0.6300863529</v>
      </c>
      <c r="AE86" s="257">
        <f>IF($B$23="약점", '종합'!$K$10, '종합'!$K$10*IF(AE78="1-1",$AA$3,1))</f>
        <v>0.6300863529</v>
      </c>
      <c r="AF86" s="257">
        <f>IF($B$23="약점", '종합'!$K$10, '종합'!$K$10*IF(AF78="1-1",$AA$3,1))</f>
        <v>0.6300863529</v>
      </c>
      <c r="AG86" s="257">
        <f>IF($B$23="약점", '종합'!$K$10, '종합'!$K$10*IF(AG78="1-1",$AA$3,1))</f>
        <v>0.6300863529</v>
      </c>
      <c r="AH86" s="257">
        <f>IF($B$23="약점", '종합'!$K$10, '종합'!$K$10*IF(AH78="1-1",$AA$3,1))</f>
        <v>0.6300863529</v>
      </c>
      <c r="AI86" s="62"/>
      <c r="AJ86" s="62"/>
      <c r="AK86" s="62" t="s">
        <v>236</v>
      </c>
    </row>
    <row r="87">
      <c r="A87" s="1"/>
      <c r="B87" s="1"/>
      <c r="C87" s="254">
        <f t="shared" ref="C87:AH87" si="34">OFFSET(INDEX($24:$24, MATCH(C78, $24:$24, 0)), 2, 1)</f>
        <v>1.164592</v>
      </c>
      <c r="D87" s="254">
        <f t="shared" si="34"/>
        <v>0.89584</v>
      </c>
      <c r="E87" s="254">
        <f t="shared" si="34"/>
        <v>1.254176</v>
      </c>
      <c r="F87" s="254">
        <f t="shared" si="34"/>
        <v>1.164592</v>
      </c>
      <c r="G87" s="254">
        <f t="shared" si="34"/>
        <v>0</v>
      </c>
      <c r="H87" s="254">
        <f t="shared" si="34"/>
        <v>0</v>
      </c>
      <c r="I87" s="254">
        <f t="shared" si="34"/>
        <v>0</v>
      </c>
      <c r="J87" s="254">
        <f t="shared" si="34"/>
        <v>0</v>
      </c>
      <c r="K87" s="254">
        <f t="shared" si="34"/>
        <v>0</v>
      </c>
      <c r="L87" s="254">
        <f t="shared" si="34"/>
        <v>0</v>
      </c>
      <c r="M87" s="254">
        <f t="shared" si="34"/>
        <v>0</v>
      </c>
      <c r="N87" s="254">
        <f t="shared" si="34"/>
        <v>0</v>
      </c>
      <c r="O87" s="254">
        <f t="shared" si="34"/>
        <v>0</v>
      </c>
      <c r="P87" s="254">
        <f t="shared" si="34"/>
        <v>0</v>
      </c>
      <c r="Q87" s="254">
        <f t="shared" si="34"/>
        <v>0</v>
      </c>
      <c r="R87" s="254">
        <f t="shared" si="34"/>
        <v>0</v>
      </c>
      <c r="S87" s="254">
        <f t="shared" si="34"/>
        <v>0</v>
      </c>
      <c r="T87" s="254">
        <f t="shared" si="34"/>
        <v>0</v>
      </c>
      <c r="U87" s="254">
        <f t="shared" si="34"/>
        <v>0</v>
      </c>
      <c r="V87" s="254">
        <f t="shared" si="34"/>
        <v>0</v>
      </c>
      <c r="W87" s="254">
        <f t="shared" si="34"/>
        <v>0</v>
      </c>
      <c r="X87" s="254">
        <f t="shared" si="34"/>
        <v>0</v>
      </c>
      <c r="Y87" s="254">
        <f t="shared" si="34"/>
        <v>0</v>
      </c>
      <c r="Z87" s="254">
        <f t="shared" si="34"/>
        <v>0</v>
      </c>
      <c r="AA87" s="254">
        <f t="shared" si="34"/>
        <v>0</v>
      </c>
      <c r="AB87" s="254">
        <f t="shared" si="34"/>
        <v>0</v>
      </c>
      <c r="AC87" s="254">
        <f t="shared" si="34"/>
        <v>0</v>
      </c>
      <c r="AD87" s="254">
        <f t="shared" si="34"/>
        <v>0</v>
      </c>
      <c r="AE87" s="254">
        <f t="shared" si="34"/>
        <v>0</v>
      </c>
      <c r="AF87" s="254">
        <f t="shared" si="34"/>
        <v>0</v>
      </c>
      <c r="AG87" s="254">
        <f t="shared" si="34"/>
        <v>0</v>
      </c>
      <c r="AH87" s="254">
        <f t="shared" si="34"/>
        <v>0</v>
      </c>
      <c r="AI87" s="62"/>
      <c r="AJ87" s="258">
        <f>SUM(OFFSET(A87, 0, C76, 1, C76))</f>
        <v>3.314608</v>
      </c>
      <c r="AK87" s="62" t="s">
        <v>475</v>
      </c>
    </row>
    <row r="88">
      <c r="A88" s="1"/>
      <c r="B88" s="25"/>
      <c r="C88" s="151" t="str">
        <f t="shared" ref="C88:AH88" si="35">OFFSET(INDEX($24:$24, MATCH(C78, $24:$24, 0)), 4, 1)</f>
        <v/>
      </c>
      <c r="D88" s="1">
        <f t="shared" si="35"/>
        <v>13.006</v>
      </c>
      <c r="E88" s="151">
        <f t="shared" si="35"/>
        <v>12.6344</v>
      </c>
      <c r="F88" s="151" t="str">
        <f t="shared" si="35"/>
        <v/>
      </c>
      <c r="G88" s="151" t="str">
        <f t="shared" si="35"/>
        <v/>
      </c>
      <c r="H88" s="1" t="str">
        <f t="shared" si="35"/>
        <v/>
      </c>
      <c r="I88" s="151" t="str">
        <f t="shared" si="35"/>
        <v/>
      </c>
      <c r="J88" s="151" t="str">
        <f t="shared" si="35"/>
        <v/>
      </c>
      <c r="K88" s="151" t="str">
        <f t="shared" si="35"/>
        <v/>
      </c>
      <c r="L88" s="1" t="str">
        <f t="shared" si="35"/>
        <v/>
      </c>
      <c r="M88" s="151" t="str">
        <f t="shared" si="35"/>
        <v/>
      </c>
      <c r="N88" s="151" t="str">
        <f t="shared" si="35"/>
        <v/>
      </c>
      <c r="O88" s="151" t="str">
        <f t="shared" si="35"/>
        <v/>
      </c>
      <c r="P88" s="1" t="str">
        <f t="shared" si="35"/>
        <v/>
      </c>
      <c r="Q88" s="1" t="str">
        <f t="shared" si="35"/>
        <v/>
      </c>
      <c r="R88" s="1" t="str">
        <f t="shared" si="35"/>
        <v/>
      </c>
      <c r="S88" s="1" t="str">
        <f t="shared" si="35"/>
        <v/>
      </c>
      <c r="T88" s="1" t="str">
        <f t="shared" si="35"/>
        <v/>
      </c>
      <c r="U88" s="1" t="str">
        <f t="shared" si="35"/>
        <v/>
      </c>
      <c r="V88" s="1" t="str">
        <f t="shared" si="35"/>
        <v/>
      </c>
      <c r="W88" s="1" t="str">
        <f t="shared" si="35"/>
        <v/>
      </c>
      <c r="X88" s="1" t="str">
        <f t="shared" si="35"/>
        <v/>
      </c>
      <c r="Y88" s="1" t="str">
        <f t="shared" si="35"/>
        <v/>
      </c>
      <c r="Z88" s="1" t="str">
        <f t="shared" si="35"/>
        <v/>
      </c>
      <c r="AA88" s="1" t="str">
        <f t="shared" si="35"/>
        <v/>
      </c>
      <c r="AB88" s="1" t="str">
        <f t="shared" si="35"/>
        <v/>
      </c>
      <c r="AC88" s="1" t="str">
        <f t="shared" si="35"/>
        <v/>
      </c>
      <c r="AD88" s="1" t="str">
        <f t="shared" si="35"/>
        <v/>
      </c>
      <c r="AE88" s="1" t="str">
        <f t="shared" si="35"/>
        <v/>
      </c>
      <c r="AF88" s="1" t="str">
        <f t="shared" si="35"/>
        <v/>
      </c>
      <c r="AG88" s="1" t="str">
        <f t="shared" si="35"/>
        <v/>
      </c>
      <c r="AH88" s="1" t="str">
        <f t="shared" si="35"/>
        <v/>
      </c>
      <c r="AI88" s="62"/>
      <c r="AJ88" s="258">
        <f>max(OFFSET(A88, 0, C76, 1, C76))*0.2-IF('방어구룬'!B$52=TRUE, 2.1*C10/'방어구룬'!$C$52, 0)</f>
        <v>2.6012</v>
      </c>
      <c r="AK88" s="62" t="s">
        <v>458</v>
      </c>
    </row>
    <row r="89">
      <c r="A89" s="25" t="s">
        <v>476</v>
      </c>
      <c r="B89" s="1"/>
      <c r="C89" s="257">
        <f>(sum(C82:C84)+'종합'!$K$7+'종합'!$K$15+'종합'!$C$8/100+IF(AND('방어구룬'!$B$39=TRUE, OR(C78="2-1", C78="4-1", C78="4-3")), 0.24, "")+IF(AND('엠블럼룬'!$B$8=TRUE, $B$23&lt;&gt;"약점", C78="1-1"), 0.14, ""))</f>
        <v>0.4055294118</v>
      </c>
      <c r="D89" s="257">
        <f>(sum(D82:D84)+'종합'!$K$7+'종합'!$K$15+'종합'!$C$8/100+IF(AND('방어구룬'!$B$39=TRUE, OR(D78="2-1", D78="4-1", D78="4-3")), 0.24, "")+IF(AND('엠블럼룬'!$B$8=TRUE, $B$23&lt;&gt;"약점", D78="1-1"), 0.14, ""))</f>
        <v>0.4055294118</v>
      </c>
      <c r="E89" s="257">
        <f>(sum(E82:E84)+'종합'!$K$7+'종합'!$K$15+'종합'!$C$8/100+IF(AND('방어구룬'!$B$39=TRUE, OR(E78="2-1", E78="4-1", E78="4-3")), 0.24, "")+IF(AND('엠블럼룬'!$B$8=TRUE, $B$23&lt;&gt;"약점", E78="1-1"), 0.14, ""))</f>
        <v>0.9055294118</v>
      </c>
      <c r="F89" s="257">
        <f>(sum(F82:F84)+'종합'!$K$7+'종합'!$K$15+'종합'!$C$8/100+IF(AND('방어구룬'!$B$39=TRUE, OR(F78="2-1", F78="4-1", F78="4-3")), 0.24, "")+IF(AND('엠블럼룬'!$B$8=TRUE, $B$23&lt;&gt;"약점", F78="1-1"), 0.14, ""))</f>
        <v>0.4055294118</v>
      </c>
      <c r="G89" s="257">
        <f>(sum(G82:G84)+'종합'!$K$7+'종합'!$K$15+'종합'!$C$8/100+IF(AND('방어구룬'!$B$39=TRUE, OR(G78="2-1", G78="4-1", G78="4-3")), 0.24, "")+IF(AND('엠블럼룬'!$B$8=TRUE, $B$23&lt;&gt;"약점", G78="1-1"), 0.14, ""))</f>
        <v>0.4055294118</v>
      </c>
      <c r="H89" s="257">
        <f>(sum(H82:H84)+'종합'!$K$7+'종합'!$K$15+'종합'!$C$8/100+IF(AND('방어구룬'!$B$39=TRUE, OR(H78="2-1", H78="4-1", H78="4-3")), 0.24, "")+IF(AND('엠블럼룬'!$B$8=TRUE, $B$23&lt;&gt;"약점", H78="1-1"), 0.14, ""))</f>
        <v>0.4055294118</v>
      </c>
      <c r="I89" s="257">
        <f>(sum(I82:I84)+'종합'!$K$7+'종합'!$K$15+'종합'!$C$8/100+IF(AND('방어구룬'!$B$39=TRUE, OR(I78="2-1", I78="4-1", I78="4-3")), 0.24, "")+IF(AND('엠블럼룬'!$B$8=TRUE, $B$23&lt;&gt;"약점", I78="1-1"), 0.14, ""))</f>
        <v>0.4055294118</v>
      </c>
      <c r="J89" s="257">
        <f>(sum(J82:J84)+'종합'!$K$7+'종합'!$K$15+'종합'!$C$8/100+IF(AND('방어구룬'!$B$39=TRUE, OR(J78="2-1", J78="4-1", J78="4-3")), 0.24, "")+IF(AND('엠블럼룬'!$B$8=TRUE, $B$23&lt;&gt;"약점", J78="1-1"), 0.14, ""))</f>
        <v>0.4055294118</v>
      </c>
      <c r="K89" s="257">
        <f>(sum(K82:K84)+'종합'!$K$7+'종합'!$K$15+'종합'!$C$8/100+IF(AND('방어구룬'!$B$39=TRUE, OR(K78="2-1", K78="4-1", K78="4-3")), 0.24, "")+IF(AND('엠블럼룬'!$B$8=TRUE, $B$23&lt;&gt;"약점", K78="1-1"), 0.14, ""))</f>
        <v>0.4055294118</v>
      </c>
      <c r="L89" s="257">
        <f>(sum(L82:L84)+'종합'!$K$7+'종합'!$K$15+'종합'!$C$8/100+IF(AND('방어구룬'!$B$39=TRUE, OR(L78="2-1", L78="4-1", L78="4-3")), 0.24, "")+IF(AND('엠블럼룬'!$B$8=TRUE, $B$23&lt;&gt;"약점", L78="1-1"), 0.14, ""))</f>
        <v>0.4055294118</v>
      </c>
      <c r="M89" s="257">
        <f>(sum(M82:M84)+'종합'!$K$7+'종합'!$K$15+'종합'!$C$8/100+IF(AND('방어구룬'!$B$39=TRUE, OR(M78="2-1", M78="4-1", M78="4-3")), 0.24, "")+IF(AND('엠블럼룬'!$B$8=TRUE, $B$23&lt;&gt;"약점", M78="1-1"), 0.14, ""))</f>
        <v>0.4055294118</v>
      </c>
      <c r="N89" s="257">
        <f>(sum(N82:N84)+'종합'!$K$7+'종합'!$K$15+'종합'!$C$8/100+IF(AND('방어구룬'!$B$39=TRUE, OR(N78="2-1", N78="4-1", N78="4-3")), 0.24, "")+IF(AND('엠블럼룬'!$B$8=TRUE, $B$23&lt;&gt;"약점", N78="1-1"), 0.14, ""))</f>
        <v>0.4055294118</v>
      </c>
      <c r="O89" s="257">
        <f>(sum(O82:O84)+'종합'!$K$7+'종합'!$K$15+'종합'!$C$8/100+IF(AND('방어구룬'!$B$39=TRUE, OR(O78="2-1", O78="4-1", O78="4-3")), 0.24, "")+IF(AND('엠블럼룬'!$B$8=TRUE, $B$23&lt;&gt;"약점", O78="1-1"), 0.14, ""))</f>
        <v>0.4055294118</v>
      </c>
      <c r="P89" s="257">
        <f>(sum(P82:P84)+'종합'!$K$7+'종합'!$K$15+'종합'!$C$8/100+IF(AND('방어구룬'!$B$39=TRUE, OR(P78="2-1", P78="4-1", P78="4-3")), 0.24, "")+IF(AND('엠블럼룬'!$B$8=TRUE, $B$23&lt;&gt;"약점", P78="1-1"), 0.14, ""))</f>
        <v>0.4055294118</v>
      </c>
      <c r="Q89" s="257">
        <f>(sum(Q82:Q84)+'종합'!$K$7+'종합'!$K$15+'종합'!$C$8/100+IF(AND('방어구룬'!$B$39=TRUE, OR(Q78="2-1", Q78="4-1", Q78="4-3")), 0.24, "")+IF(AND('엠블럼룬'!$B$8=TRUE, $B$23&lt;&gt;"약점", Q78="1-1"), 0.14, ""))</f>
        <v>0.4055294118</v>
      </c>
      <c r="R89" s="257">
        <f>(sum(R82:R84)+'종합'!$K$7+'종합'!$K$15+'종합'!$C$8/100+IF(AND('방어구룬'!$B$39=TRUE, OR(R78="2-1", R78="4-1", R78="4-3")), 0.24, "")+IF(AND('엠블럼룬'!$B$8=TRUE, $B$23&lt;&gt;"약점", R78="1-1"), 0.14, ""))</f>
        <v>0.4055294118</v>
      </c>
      <c r="S89" s="257">
        <f>(sum(S82:S84)+'종합'!$K$7+'종합'!$K$15+'종합'!$C$8/100+IF(AND('방어구룬'!$B$39=TRUE, OR(S78="2-1", S78="4-1", S78="4-3")), 0.24, "")+IF(AND('엠블럼룬'!$B$8=TRUE, $B$23&lt;&gt;"약점", S78="1-1"), 0.14, ""))</f>
        <v>0.4055294118</v>
      </c>
      <c r="T89" s="257">
        <f>(sum(T82:T84)+'종합'!$K$7+'종합'!$K$15+'종합'!$C$8/100+IF(AND('방어구룬'!$B$39=TRUE, OR(T78="2-1", T78="4-1", T78="4-3")), 0.24, "")+IF(AND('엠블럼룬'!$B$8=TRUE, $B$23&lt;&gt;"약점", T78="1-1"), 0.14, ""))</f>
        <v>0.4055294118</v>
      </c>
      <c r="U89" s="257">
        <f>(sum(U82:U84)+'종합'!$K$7+'종합'!$K$15+'종합'!$C$8/100+IF(AND('방어구룬'!$B$39=TRUE, OR(U78="2-1", U78="4-1", U78="4-3")), 0.24, "")+IF(AND('엠블럼룬'!$B$8=TRUE, $B$23&lt;&gt;"약점", U78="1-1"), 0.14, ""))</f>
        <v>0.4055294118</v>
      </c>
      <c r="V89" s="257">
        <f>(sum(V82:V84)+'종합'!$K$7+'종합'!$K$15+'종합'!$C$8/100+IF(AND('방어구룬'!$B$39=TRUE, OR(V78="2-1", V78="4-1", V78="4-3")), 0.24, "")+IF(AND('엠블럼룬'!$B$8=TRUE, $B$23&lt;&gt;"약점", V78="1-1"), 0.14, ""))</f>
        <v>0.4055294118</v>
      </c>
      <c r="W89" s="257">
        <f>(sum(W82:W84)+'종합'!$K$7+'종합'!$K$15+'종합'!$C$8/100+IF(AND('방어구룬'!$B$39=TRUE, OR(W78="2-1", W78="4-1", W78="4-3")), 0.24, "")+IF(AND('엠블럼룬'!$B$8=TRUE, $B$23&lt;&gt;"약점", W78="1-1"), 0.14, ""))</f>
        <v>0.4055294118</v>
      </c>
      <c r="X89" s="257">
        <f>(sum(X82:X84)+'종합'!$K$7+'종합'!$K$15+'종합'!$C$8/100+IF(AND('방어구룬'!$B$39=TRUE, OR(X78="2-1", X78="4-1", X78="4-3")), 0.24, "")+IF(AND('엠블럼룬'!$B$8=TRUE, $B$23&lt;&gt;"약점", X78="1-1"), 0.14, ""))</f>
        <v>0.4055294118</v>
      </c>
      <c r="Y89" s="257">
        <f>(sum(Y82:Y84)+'종합'!$K$7+'종합'!$K$15+'종합'!$C$8/100+IF(AND('방어구룬'!$B$39=TRUE, OR(Y78="2-1", Y78="4-1", Y78="4-3")), 0.24, "")+IF(AND('엠블럼룬'!$B$8=TRUE, $B$23&lt;&gt;"약점", Y78="1-1"), 0.14, ""))</f>
        <v>0.4055294118</v>
      </c>
      <c r="Z89" s="257">
        <f>(sum(Z82:Z84)+'종합'!$K$7+'종합'!$K$15+'종합'!$C$8/100+IF(AND('방어구룬'!$B$39=TRUE, OR(Z78="2-1", Z78="4-1", Z78="4-3")), 0.24, "")+IF(AND('엠블럼룬'!$B$8=TRUE, $B$23&lt;&gt;"약점", Z78="1-1"), 0.14, ""))</f>
        <v>0.4055294118</v>
      </c>
      <c r="AA89" s="257">
        <f>(sum(AA82:AA84)+'종합'!$K$7+'종합'!$K$15+'종합'!$C$8/100+IF(AND('방어구룬'!$B$39=TRUE, OR(AA78="2-1", AA78="4-1", AA78="4-3")), 0.24, "")+IF(AND('엠블럼룬'!$B$8=TRUE, $B$23&lt;&gt;"약점", AA78="1-1"), 0.14, ""))</f>
        <v>0.4055294118</v>
      </c>
      <c r="AB89" s="257">
        <f>(sum(AB82:AB84)+'종합'!$K$7+'종합'!$K$15+'종합'!$C$8/100+IF(AND('방어구룬'!$B$39=TRUE, OR(AB78="2-1", AB78="4-1", AB78="4-3")), 0.24, "")+IF(AND('엠블럼룬'!$B$8=TRUE, $B$23&lt;&gt;"약점", AB78="1-1"), 0.14, ""))</f>
        <v>0.4055294118</v>
      </c>
      <c r="AC89" s="257">
        <f>(sum(AC82:AC84)+'종합'!$K$7+'종합'!$K$15+'종합'!$C$8/100+IF(AND('방어구룬'!$B$39=TRUE, OR(AC78="2-1", AC78="4-1", AC78="4-3")), 0.24, "")+IF(AND('엠블럼룬'!$B$8=TRUE, $B$23&lt;&gt;"약점", AC78="1-1"), 0.14, ""))</f>
        <v>0.4055294118</v>
      </c>
      <c r="AD89" s="257">
        <f>(sum(AD82:AD84)+'종합'!$K$7+'종합'!$K$15+'종합'!$C$8/100+IF(AND('방어구룬'!$B$39=TRUE, OR(AD78="2-1", AD78="4-1", AD78="4-3")), 0.24, "")+IF(AND('엠블럼룬'!$B$8=TRUE, $B$23&lt;&gt;"약점", AD78="1-1"), 0.14, ""))</f>
        <v>0.4055294118</v>
      </c>
      <c r="AE89" s="257">
        <f>(sum(AE82:AE84)+'종합'!$K$7+'종합'!$K$15+'종합'!$C$8/100+IF(AND('방어구룬'!$B$39=TRUE, OR(AE78="2-1", AE78="4-1", AE78="4-3")), 0.24, "")+IF(AND('엠블럼룬'!$B$8=TRUE, $B$23&lt;&gt;"약점", AE78="1-1"), 0.14, ""))</f>
        <v>0.4055294118</v>
      </c>
      <c r="AF89" s="257">
        <f>(sum(AF82:AF84)+'종합'!$K$7+'종합'!$K$15+'종합'!$C$8/100+IF(AND('방어구룬'!$B$39=TRUE, OR(AF78="2-1", AF78="4-1", AF78="4-3")), 0.24, "")+IF(AND('엠블럼룬'!$B$8=TRUE, $B$23&lt;&gt;"약점", AF78="1-1"), 0.14, ""))</f>
        <v>0.4055294118</v>
      </c>
      <c r="AG89" s="257">
        <f>(sum(AG82:AG84)+'종합'!$K$7+'종합'!$K$15+'종합'!$C$8/100+IF(AND('방어구룬'!$B$39=TRUE, OR(AG78="2-1", AG78="4-1", AG78="4-3")), 0.24, "")+IF(AND('엠블럼룬'!$B$8=TRUE, $B$23&lt;&gt;"약점", AG78="1-1"), 0.14, ""))</f>
        <v>0.4055294118</v>
      </c>
      <c r="AH89" s="257">
        <f>(sum(AH82:AH84)+'종합'!$K$7+'종합'!$K$15+'종합'!$C$8/100+IF(AND('방어구룬'!$B$39=TRUE, OR(AH78="2-1", AH78="4-1", AH78="4-3")), 0.24, "")+IF(AND('엠블럼룬'!$B$8=TRUE, $B$23&lt;&gt;"약점", AH78="1-1"), 0.14, ""))</f>
        <v>0.4055294118</v>
      </c>
      <c r="AI89" s="62"/>
      <c r="AJ89" s="258">
        <f>IF(AJ88-AJ87 &lt; 0, 0, AJ88-AJ87)</f>
        <v>0</v>
      </c>
      <c r="AK89" s="62" t="s">
        <v>477</v>
      </c>
    </row>
    <row r="90">
      <c r="A90" s="25" t="s">
        <v>478</v>
      </c>
      <c r="B90" s="1"/>
      <c r="C90" s="257">
        <f>C85+C86+'종합'!$K$13</f>
        <v>1.073070019</v>
      </c>
      <c r="D90" s="257">
        <f>D85+D86+'종합'!$K$13</f>
        <v>1.073070019</v>
      </c>
      <c r="E90" s="257">
        <f>E85+E86+'종합'!$K$13</f>
        <v>1.073070019</v>
      </c>
      <c r="F90" s="257">
        <f>F85+F86+'종합'!$K$13</f>
        <v>1.073070019</v>
      </c>
      <c r="G90" s="257">
        <f>G85+G86+'종합'!$K$13</f>
        <v>1.073070019</v>
      </c>
      <c r="H90" s="257">
        <f>H85+H86+'종합'!$K$13</f>
        <v>1.073070019</v>
      </c>
      <c r="I90" s="257">
        <f>I85+I86+'종합'!$K$13</f>
        <v>1.073070019</v>
      </c>
      <c r="J90" s="257">
        <f>J85+J86+'종합'!$K$13</f>
        <v>1.073070019</v>
      </c>
      <c r="K90" s="257">
        <f>K85+K86+'종합'!$K$13</f>
        <v>1.073070019</v>
      </c>
      <c r="L90" s="257">
        <f>L85+L86+'종합'!$K$13</f>
        <v>1.073070019</v>
      </c>
      <c r="M90" s="257">
        <f>M85+M86+'종합'!$K$13</f>
        <v>1.073070019</v>
      </c>
      <c r="N90" s="257">
        <f>N85+N86+'종합'!$K$13</f>
        <v>1.073070019</v>
      </c>
      <c r="O90" s="257">
        <f>O85+O86+'종합'!$K$13</f>
        <v>1.073070019</v>
      </c>
      <c r="P90" s="257">
        <f>P85+P86+'종합'!$K$13</f>
        <v>1.073070019</v>
      </c>
      <c r="Q90" s="257">
        <f>Q85+Q86+'종합'!$K$13</f>
        <v>1.073070019</v>
      </c>
      <c r="R90" s="257">
        <f>R85+R86+'종합'!$K$13</f>
        <v>1.073070019</v>
      </c>
      <c r="S90" s="257">
        <f>S85+S86+'종합'!$K$13</f>
        <v>1.073070019</v>
      </c>
      <c r="T90" s="257">
        <f>T85+T86+'종합'!$K$13</f>
        <v>1.073070019</v>
      </c>
      <c r="U90" s="257">
        <f>U85+U86+'종합'!$K$13</f>
        <v>1.073070019</v>
      </c>
      <c r="V90" s="257">
        <f>V85+V86+'종합'!$K$13</f>
        <v>1.073070019</v>
      </c>
      <c r="W90" s="257">
        <f>W85+W86+'종합'!$K$13</f>
        <v>1.073070019</v>
      </c>
      <c r="X90" s="257">
        <f>X85+X86+'종합'!$K$13</f>
        <v>1.073070019</v>
      </c>
      <c r="Y90" s="257">
        <f>Y85+Y86+'종합'!$K$13</f>
        <v>1.073070019</v>
      </c>
      <c r="Z90" s="257">
        <f>Z85+Z86+'종합'!$K$13</f>
        <v>1.073070019</v>
      </c>
      <c r="AA90" s="257">
        <f>AA85+AA86+'종합'!$K$13</f>
        <v>1.073070019</v>
      </c>
      <c r="AB90" s="257">
        <f>AB85+AB86+'종합'!$K$13</f>
        <v>1.073070019</v>
      </c>
      <c r="AC90" s="257">
        <f>AC85+AC86+'종합'!$K$13</f>
        <v>1.073070019</v>
      </c>
      <c r="AD90" s="257">
        <f>AD85+AD86+'종합'!$K$13</f>
        <v>1.073070019</v>
      </c>
      <c r="AE90" s="257">
        <f>AE85+AE86+'종합'!$K$13</f>
        <v>1.073070019</v>
      </c>
      <c r="AF90" s="257">
        <f>AF85+AF86+'종합'!$K$13</f>
        <v>1.073070019</v>
      </c>
      <c r="AG90" s="257">
        <f>AG85+AG86+'종합'!$K$13</f>
        <v>1.073070019</v>
      </c>
      <c r="AH90" s="257">
        <f>AH85+AH86+'종합'!$K$13</f>
        <v>1.073070019</v>
      </c>
      <c r="AI90" s="62"/>
      <c r="AJ90" s="258">
        <f>0.8*(1-'종합'!I$22)</f>
        <v>0.716896</v>
      </c>
      <c r="AK90" s="62" t="s">
        <v>479</v>
      </c>
    </row>
    <row r="91">
      <c r="A91" s="25" t="s">
        <v>480</v>
      </c>
      <c r="B91" s="1"/>
      <c r="C91" s="257">
        <f>1-'종합'!$K$17+'종합'!$K$12*'종합'!$K$17</f>
        <v>2.472480923</v>
      </c>
      <c r="D91" s="257">
        <f>1-'종합'!$K$17+'종합'!$K$12*'종합'!$K$17</f>
        <v>2.472480923</v>
      </c>
      <c r="E91" s="257">
        <f>1-'종합'!$K$17+'종합'!$K$12*'종합'!$K$17</f>
        <v>2.472480923</v>
      </c>
      <c r="F91" s="257">
        <f>1-'종합'!$K$17+'종합'!$K$12*'종합'!$K$17</f>
        <v>2.472480923</v>
      </c>
      <c r="G91" s="257">
        <f>1-'종합'!$K$17+'종합'!$K$12*'종합'!$K$17</f>
        <v>2.472480923</v>
      </c>
      <c r="H91" s="257">
        <f>1-'종합'!$K$17+'종합'!$K$12*'종합'!$K$17</f>
        <v>2.472480923</v>
      </c>
      <c r="I91" s="257">
        <f>1-'종합'!$K$17+'종합'!$K$12*'종합'!$K$17</f>
        <v>2.472480923</v>
      </c>
      <c r="J91" s="257">
        <f>1-'종합'!$K$17+'종합'!$K$12*'종합'!$K$17</f>
        <v>2.472480923</v>
      </c>
      <c r="K91" s="257">
        <f>1-'종합'!$K$17+'종합'!$K$12*'종합'!$K$17</f>
        <v>2.472480923</v>
      </c>
      <c r="L91" s="257">
        <f>1-'종합'!$K$17+'종합'!$K$12*'종합'!$K$17</f>
        <v>2.472480923</v>
      </c>
      <c r="M91" s="257">
        <f>1-'종합'!$K$17+'종합'!$K$12*'종합'!$K$17</f>
        <v>2.472480923</v>
      </c>
      <c r="N91" s="257">
        <f>1-'종합'!$K$17+'종합'!$K$12*'종합'!$K$17</f>
        <v>2.472480923</v>
      </c>
      <c r="O91" s="257">
        <f>1-'종합'!$K$17+'종합'!$K$12*'종합'!$K$17</f>
        <v>2.472480923</v>
      </c>
      <c r="P91" s="257">
        <f>1-'종합'!$K$17+'종합'!$K$12*'종합'!$K$17</f>
        <v>2.472480923</v>
      </c>
      <c r="Q91" s="257">
        <f>1-'종합'!$K$17+'종합'!$K$12*'종합'!$K$17</f>
        <v>2.472480923</v>
      </c>
      <c r="R91" s="257">
        <f>1-'종합'!$K$17+'종합'!$K$12*'종합'!$K$17</f>
        <v>2.472480923</v>
      </c>
      <c r="S91" s="257">
        <f>1-'종합'!$K$17+'종합'!$K$12*'종합'!$K$17</f>
        <v>2.472480923</v>
      </c>
      <c r="T91" s="257">
        <f>1-'종합'!$K$17+'종합'!$K$12*'종합'!$K$17</f>
        <v>2.472480923</v>
      </c>
      <c r="U91" s="257">
        <f>1-'종합'!$K$17+'종합'!$K$12*'종합'!$K$17</f>
        <v>2.472480923</v>
      </c>
      <c r="V91" s="257">
        <f>1-'종합'!$K$17+'종합'!$K$12*'종합'!$K$17</f>
        <v>2.472480923</v>
      </c>
      <c r="W91" s="257">
        <f>1-'종합'!$K$17+'종합'!$K$12*'종합'!$K$17</f>
        <v>2.472480923</v>
      </c>
      <c r="X91" s="257">
        <f>1-'종합'!$K$17+'종합'!$K$12*'종합'!$K$17</f>
        <v>2.472480923</v>
      </c>
      <c r="Y91" s="257">
        <f>1-'종합'!$K$17+'종합'!$K$12*'종합'!$K$17</f>
        <v>2.472480923</v>
      </c>
      <c r="Z91" s="257">
        <f>1-'종합'!$K$17+'종합'!$K$12*'종합'!$K$17</f>
        <v>2.472480923</v>
      </c>
      <c r="AA91" s="257">
        <f>1-'종합'!$K$17+'종합'!$K$12*'종합'!$K$17</f>
        <v>2.472480923</v>
      </c>
      <c r="AB91" s="257">
        <f>1-'종합'!$K$17+'종합'!$K$12*'종합'!$K$17</f>
        <v>2.472480923</v>
      </c>
      <c r="AC91" s="257">
        <f>1-'종합'!$K$17+'종합'!$K$12*'종합'!$K$17</f>
        <v>2.472480923</v>
      </c>
      <c r="AD91" s="257">
        <f>1-'종합'!$K$17+'종합'!$K$12*'종합'!$K$17</f>
        <v>2.472480923</v>
      </c>
      <c r="AE91" s="257">
        <f>1-'종합'!$K$17+'종합'!$K$12*'종합'!$K$17</f>
        <v>2.472480923</v>
      </c>
      <c r="AF91" s="257">
        <f>1-'종합'!$K$17+'종합'!$K$12*'종합'!$K$17</f>
        <v>2.472480923</v>
      </c>
      <c r="AG91" s="257">
        <f>1-'종합'!$K$17+'종합'!$K$12*'종합'!$K$17</f>
        <v>2.472480923</v>
      </c>
      <c r="AH91" s="257">
        <f>1-'종합'!$K$17+'종합'!$K$12*'종합'!$K$17</f>
        <v>2.472480923</v>
      </c>
      <c r="AI91" s="62"/>
      <c r="AJ91" s="258">
        <f>'헬퍼테이블'!E82</f>
        <v>0</v>
      </c>
      <c r="AK91" s="62" t="s">
        <v>481</v>
      </c>
    </row>
    <row r="92">
      <c r="A92" s="25" t="s">
        <v>482</v>
      </c>
      <c r="B92" s="1"/>
      <c r="C92" s="257">
        <f>1-'종합'!$K$16+'종합'!$K$11*'종합'!$K$16</f>
        <v>1.313522756</v>
      </c>
      <c r="D92" s="257">
        <f>1-'종합'!$K$16+'종합'!$K$11*'종합'!$K$16</f>
        <v>1.313522756</v>
      </c>
      <c r="E92" s="257">
        <f>1-'종합'!$K$16+'종합'!$K$11*'종합'!$K$16</f>
        <v>1.313522756</v>
      </c>
      <c r="F92" s="257">
        <f>1-'종합'!$K$16+'종합'!$K$11*'종합'!$K$16</f>
        <v>1.313522756</v>
      </c>
      <c r="G92" s="257">
        <f>1-'종합'!$K$16+'종합'!$K$11*'종합'!$K$16</f>
        <v>1.313522756</v>
      </c>
      <c r="H92" s="257">
        <f>1-'종합'!$K$16+'종합'!$K$11*'종합'!$K$16</f>
        <v>1.313522756</v>
      </c>
      <c r="I92" s="257">
        <f>1-'종합'!$K$16+'종합'!$K$11*'종합'!$K$16</f>
        <v>1.313522756</v>
      </c>
      <c r="J92" s="257">
        <f>1-'종합'!$K$16+'종합'!$K$11*'종합'!$K$16</f>
        <v>1.313522756</v>
      </c>
      <c r="K92" s="257">
        <f>1-'종합'!$K$16+'종합'!$K$11*'종합'!$K$16</f>
        <v>1.313522756</v>
      </c>
      <c r="L92" s="257">
        <f>1-'종합'!$K$16+'종합'!$K$11*'종합'!$K$16</f>
        <v>1.313522756</v>
      </c>
      <c r="M92" s="257">
        <f>1-'종합'!$K$16+'종합'!$K$11*'종합'!$K$16</f>
        <v>1.313522756</v>
      </c>
      <c r="N92" s="257">
        <f>1-'종합'!$K$16+'종합'!$K$11*'종합'!$K$16</f>
        <v>1.313522756</v>
      </c>
      <c r="O92" s="257">
        <f>1-'종합'!$K$16+'종합'!$K$11*'종합'!$K$16</f>
        <v>1.313522756</v>
      </c>
      <c r="P92" s="257">
        <f>1-'종합'!$K$16+'종합'!$K$11*'종합'!$K$16</f>
        <v>1.313522756</v>
      </c>
      <c r="Q92" s="257">
        <f>1-'종합'!$K$16+'종합'!$K$11*'종합'!$K$16</f>
        <v>1.313522756</v>
      </c>
      <c r="R92" s="257">
        <f>1-'종합'!$K$16+'종합'!$K$11*'종합'!$K$16</f>
        <v>1.313522756</v>
      </c>
      <c r="S92" s="257">
        <f>1-'종합'!$K$16+'종합'!$K$11*'종합'!$K$16</f>
        <v>1.313522756</v>
      </c>
      <c r="T92" s="257">
        <f>1-'종합'!$K$16+'종합'!$K$11*'종합'!$K$16</f>
        <v>1.313522756</v>
      </c>
      <c r="U92" s="257">
        <f>1-'종합'!$K$16+'종합'!$K$11*'종합'!$K$16</f>
        <v>1.313522756</v>
      </c>
      <c r="V92" s="257">
        <f>1-'종합'!$K$16+'종합'!$K$11*'종합'!$K$16</f>
        <v>1.313522756</v>
      </c>
      <c r="W92" s="257">
        <f>1-'종합'!$K$16+'종합'!$K$11*'종합'!$K$16</f>
        <v>1.313522756</v>
      </c>
      <c r="X92" s="257">
        <f>1-'종합'!$K$16+'종합'!$K$11*'종합'!$K$16</f>
        <v>1.313522756</v>
      </c>
      <c r="Y92" s="257">
        <f>1-'종합'!$K$16+'종합'!$K$11*'종합'!$K$16</f>
        <v>1.313522756</v>
      </c>
      <c r="Z92" s="257">
        <f>1-'종합'!$K$16+'종합'!$K$11*'종합'!$K$16</f>
        <v>1.313522756</v>
      </c>
      <c r="AA92" s="257">
        <f>1-'종합'!$K$16+'종합'!$K$11*'종합'!$K$16</f>
        <v>1.313522756</v>
      </c>
      <c r="AB92" s="257">
        <f>1-'종합'!$K$16+'종합'!$K$11*'종합'!$K$16</f>
        <v>1.313522756</v>
      </c>
      <c r="AC92" s="257">
        <f>1-'종합'!$K$16+'종합'!$K$11*'종합'!$K$16</f>
        <v>1.313522756</v>
      </c>
      <c r="AD92" s="257">
        <f>1-'종합'!$K$16+'종합'!$K$11*'종합'!$K$16</f>
        <v>1.313522756</v>
      </c>
      <c r="AE92" s="257">
        <f>1-'종합'!$K$16+'종합'!$K$11*'종합'!$K$16</f>
        <v>1.313522756</v>
      </c>
      <c r="AF92" s="257">
        <f>1-'종합'!$K$16+'종합'!$K$11*'종합'!$K$16</f>
        <v>1.313522756</v>
      </c>
      <c r="AG92" s="257">
        <f>1-'종합'!$K$16+'종합'!$K$11*'종합'!$K$16</f>
        <v>1.313522756</v>
      </c>
      <c r="AH92" s="257">
        <f>1-'종합'!$K$16+'종합'!$K$11*'종합'!$K$16</f>
        <v>1.313522756</v>
      </c>
      <c r="AI92" s="62"/>
      <c r="AJ92" s="62"/>
      <c r="AK92" s="62"/>
    </row>
    <row r="93">
      <c r="A93" s="1" t="s">
        <v>483</v>
      </c>
      <c r="B93" s="1"/>
      <c r="C93" s="151">
        <f t="shared" ref="C93:AH93" si="36">C79*(1+C89)*(1+C90)*C91*C92</f>
        <v>19.29580866</v>
      </c>
      <c r="D93" s="151">
        <f t="shared" si="36"/>
        <v>17.27538391</v>
      </c>
      <c r="E93" s="151">
        <f t="shared" si="36"/>
        <v>80.47332127</v>
      </c>
      <c r="F93" s="151">
        <f t="shared" si="36"/>
        <v>19.29580866</v>
      </c>
      <c r="G93" s="151">
        <f t="shared" si="36"/>
        <v>0</v>
      </c>
      <c r="H93" s="151">
        <f t="shared" si="36"/>
        <v>0</v>
      </c>
      <c r="I93" s="151">
        <f t="shared" si="36"/>
        <v>0</v>
      </c>
      <c r="J93" s="151">
        <f t="shared" si="36"/>
        <v>0</v>
      </c>
      <c r="K93" s="151">
        <f t="shared" si="36"/>
        <v>0</v>
      </c>
      <c r="L93" s="151">
        <f t="shared" si="36"/>
        <v>0</v>
      </c>
      <c r="M93" s="151">
        <f t="shared" si="36"/>
        <v>0</v>
      </c>
      <c r="N93" s="151">
        <f t="shared" si="36"/>
        <v>0</v>
      </c>
      <c r="O93" s="151">
        <f t="shared" si="36"/>
        <v>0</v>
      </c>
      <c r="P93" s="151">
        <f t="shared" si="36"/>
        <v>0</v>
      </c>
      <c r="Q93" s="151">
        <f t="shared" si="36"/>
        <v>0</v>
      </c>
      <c r="R93" s="151">
        <f t="shared" si="36"/>
        <v>0</v>
      </c>
      <c r="S93" s="151">
        <f t="shared" si="36"/>
        <v>0</v>
      </c>
      <c r="T93" s="151">
        <f t="shared" si="36"/>
        <v>0</v>
      </c>
      <c r="U93" s="151">
        <f t="shared" si="36"/>
        <v>0</v>
      </c>
      <c r="V93" s="151">
        <f t="shared" si="36"/>
        <v>0</v>
      </c>
      <c r="W93" s="151">
        <f t="shared" si="36"/>
        <v>0</v>
      </c>
      <c r="X93" s="151">
        <f t="shared" si="36"/>
        <v>0</v>
      </c>
      <c r="Y93" s="151">
        <f t="shared" si="36"/>
        <v>0</v>
      </c>
      <c r="Z93" s="151">
        <f t="shared" si="36"/>
        <v>0</v>
      </c>
      <c r="AA93" s="151">
        <f t="shared" si="36"/>
        <v>0</v>
      </c>
      <c r="AB93" s="151">
        <f t="shared" si="36"/>
        <v>0</v>
      </c>
      <c r="AC93" s="151">
        <f t="shared" si="36"/>
        <v>0</v>
      </c>
      <c r="AD93" s="151">
        <f t="shared" si="36"/>
        <v>0</v>
      </c>
      <c r="AE93" s="151">
        <f t="shared" si="36"/>
        <v>0</v>
      </c>
      <c r="AF93" s="151">
        <f t="shared" si="36"/>
        <v>0</v>
      </c>
      <c r="AG93" s="151">
        <f t="shared" si="36"/>
        <v>0</v>
      </c>
      <c r="AH93" s="151">
        <f t="shared" si="36"/>
        <v>0</v>
      </c>
      <c r="AI93" s="62"/>
      <c r="AJ93" s="62"/>
      <c r="AK93" s="62"/>
    </row>
    <row r="94">
      <c r="A94" s="1" t="s">
        <v>484</v>
      </c>
      <c r="B94" s="1"/>
      <c r="C94" s="151">
        <f t="shared" ref="C94:AH94" si="37">C79*(1+C89)*(1+C90)*C91*C80*IF(OR(C78="1-2", C78="2-2", C78="4-1", C78="4-3", C78="5-1", C78="5-3"), 1,C92)</f>
        <v>0</v>
      </c>
      <c r="D94" s="151">
        <f t="shared" si="37"/>
        <v>0</v>
      </c>
      <c r="E94" s="151">
        <f t="shared" si="37"/>
        <v>28.16566245</v>
      </c>
      <c r="F94" s="151">
        <f t="shared" si="37"/>
        <v>0</v>
      </c>
      <c r="G94" s="151">
        <f t="shared" si="37"/>
        <v>0</v>
      </c>
      <c r="H94" s="151">
        <f t="shared" si="37"/>
        <v>0</v>
      </c>
      <c r="I94" s="151">
        <f t="shared" si="37"/>
        <v>0</v>
      </c>
      <c r="J94" s="151">
        <f t="shared" si="37"/>
        <v>0</v>
      </c>
      <c r="K94" s="151">
        <f t="shared" si="37"/>
        <v>0</v>
      </c>
      <c r="L94" s="151">
        <f t="shared" si="37"/>
        <v>0</v>
      </c>
      <c r="M94" s="151">
        <f t="shared" si="37"/>
        <v>0</v>
      </c>
      <c r="N94" s="151">
        <f t="shared" si="37"/>
        <v>0</v>
      </c>
      <c r="O94" s="151">
        <f t="shared" si="37"/>
        <v>0</v>
      </c>
      <c r="P94" s="151">
        <f t="shared" si="37"/>
        <v>0</v>
      </c>
      <c r="Q94" s="151">
        <f t="shared" si="37"/>
        <v>0</v>
      </c>
      <c r="R94" s="151">
        <f t="shared" si="37"/>
        <v>0</v>
      </c>
      <c r="S94" s="151">
        <f t="shared" si="37"/>
        <v>0</v>
      </c>
      <c r="T94" s="151">
        <f t="shared" si="37"/>
        <v>0</v>
      </c>
      <c r="U94" s="151">
        <f t="shared" si="37"/>
        <v>0</v>
      </c>
      <c r="V94" s="151">
        <f t="shared" si="37"/>
        <v>0</v>
      </c>
      <c r="W94" s="151">
        <f t="shared" si="37"/>
        <v>0</v>
      </c>
      <c r="X94" s="151">
        <f t="shared" si="37"/>
        <v>0</v>
      </c>
      <c r="Y94" s="151">
        <f t="shared" si="37"/>
        <v>0</v>
      </c>
      <c r="Z94" s="151">
        <f t="shared" si="37"/>
        <v>0</v>
      </c>
      <c r="AA94" s="151">
        <f t="shared" si="37"/>
        <v>0</v>
      </c>
      <c r="AB94" s="151">
        <f t="shared" si="37"/>
        <v>0</v>
      </c>
      <c r="AC94" s="151">
        <f t="shared" si="37"/>
        <v>0</v>
      </c>
      <c r="AD94" s="151">
        <f t="shared" si="37"/>
        <v>0</v>
      </c>
      <c r="AE94" s="151">
        <f t="shared" si="37"/>
        <v>0</v>
      </c>
      <c r="AF94" s="151">
        <f t="shared" si="37"/>
        <v>0</v>
      </c>
      <c r="AG94" s="151">
        <f t="shared" si="37"/>
        <v>0</v>
      </c>
      <c r="AH94" s="151">
        <f t="shared" si="37"/>
        <v>0</v>
      </c>
      <c r="AI94" s="62"/>
      <c r="AJ94" s="258">
        <f>'헬퍼테이블'!E83</f>
        <v>3.314608</v>
      </c>
      <c r="AK94" s="62" t="s">
        <v>485</v>
      </c>
    </row>
    <row r="95">
      <c r="A95" s="25" t="s">
        <v>141</v>
      </c>
      <c r="B95" s="217">
        <f>SUM(OFFSET(A93, 0, C76, 2, C76))</f>
        <v>145.2101763</v>
      </c>
      <c r="C95" s="217">
        <f>(1-'종합'!$K$17+'종합'!$K$12*'종합'!$K$17)*(1-'종합'!$K$16+'종합'!$K$11*'종합'!$K$16)*AJ95</f>
        <v>1.051007715</v>
      </c>
      <c r="D95" s="217">
        <f>(1-'종합'!$K$17+'종합'!$K$12*'종합'!$K$17)*(1-('종합'!$K$16+'종합'!$K$23)+'종합'!$K$11*('종합'!$K$16+'종합'!$K$23))*AJ91*if('무기룬'!$B$17=true,1.92,0.4)</f>
        <v>0</v>
      </c>
      <c r="E95" s="217">
        <f>sum(B95:D95)/AJ94</f>
        <v>44.12623876</v>
      </c>
      <c r="F95" s="215"/>
      <c r="G95" s="1"/>
      <c r="H95" s="1"/>
      <c r="I95" s="1"/>
      <c r="J95" s="1"/>
      <c r="K95" s="1"/>
      <c r="L95" s="62"/>
      <c r="M95" s="1"/>
      <c r="N95" s="1"/>
      <c r="O95" s="1"/>
      <c r="P95" s="1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258">
        <f>0.22*(1+'종합'!$C$28)*C76/3</f>
        <v>0.32362</v>
      </c>
      <c r="AK95" s="62" t="s">
        <v>486</v>
      </c>
    </row>
    <row r="96">
      <c r="A96" s="1"/>
      <c r="B96" s="1"/>
      <c r="C96" s="1"/>
      <c r="D96" s="1"/>
      <c r="E96" s="1"/>
      <c r="F96" s="1"/>
      <c r="G96" s="1"/>
      <c r="H96" s="1"/>
      <c r="I96" s="1">
        <f>sum(G93:L94)</f>
        <v>0</v>
      </c>
      <c r="J96" s="1"/>
      <c r="K96" s="1"/>
      <c r="L96" s="62"/>
      <c r="M96" s="1"/>
      <c r="N96" s="1"/>
      <c r="O96" s="1"/>
      <c r="P96" s="1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</row>
    <row r="97">
      <c r="A97" s="1"/>
      <c r="B97" s="1"/>
      <c r="C97" s="261"/>
      <c r="D97" s="1"/>
      <c r="E97" s="1"/>
      <c r="F97" s="1"/>
      <c r="G97" s="1"/>
      <c r="H97" s="1"/>
      <c r="I97" s="1"/>
      <c r="J97" s="1"/>
      <c r="K97" s="1"/>
      <c r="L97" s="62"/>
      <c r="M97" s="1"/>
      <c r="N97" s="1"/>
      <c r="O97" s="1"/>
      <c r="P97" s="1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</row>
    <row r="98">
      <c r="A98" s="1"/>
      <c r="B98" s="1" t="str">
        <f>'종합'!I37&amp;" "&amp;'종합'!I37</f>
        <v>252 252</v>
      </c>
      <c r="C98" s="151">
        <f>LEN(SUBSTITUTE(B98," ",""))/2</f>
        <v>3</v>
      </c>
      <c r="D98" s="1"/>
      <c r="E98" s="1"/>
      <c r="F98" s="1"/>
      <c r="G98" s="1"/>
      <c r="H98" s="1"/>
      <c r="I98" s="1"/>
      <c r="J98" s="1"/>
      <c r="K98" s="1"/>
      <c r="L98" s="62"/>
      <c r="M98" s="1"/>
      <c r="N98" s="1"/>
      <c r="O98" s="1"/>
      <c r="P98" s="1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</row>
    <row r="99">
      <c r="A99" s="1" t="str">
        <f t="shared" ref="A99:AI99" si="38">IFERROR(MID(SUBSTITUTE($B98," ",""),COLUMN(),1),"")</f>
        <v>2</v>
      </c>
      <c r="B99" s="1" t="str">
        <f t="shared" si="38"/>
        <v>5</v>
      </c>
      <c r="C99" s="1" t="str">
        <f t="shared" si="38"/>
        <v>2</v>
      </c>
      <c r="D99" s="1" t="str">
        <f t="shared" si="38"/>
        <v>2</v>
      </c>
      <c r="E99" s="1" t="str">
        <f t="shared" si="38"/>
        <v>5</v>
      </c>
      <c r="F99" s="1" t="str">
        <f t="shared" si="38"/>
        <v>2</v>
      </c>
      <c r="G99" s="1" t="str">
        <f t="shared" si="38"/>
        <v/>
      </c>
      <c r="H99" s="1" t="str">
        <f t="shared" si="38"/>
        <v/>
      </c>
      <c r="I99" s="1" t="str">
        <f t="shared" si="38"/>
        <v/>
      </c>
      <c r="J99" s="1" t="str">
        <f t="shared" si="38"/>
        <v/>
      </c>
      <c r="K99" s="1" t="str">
        <f t="shared" si="38"/>
        <v/>
      </c>
      <c r="L99" s="62" t="str">
        <f t="shared" si="38"/>
        <v/>
      </c>
      <c r="M99" s="1" t="str">
        <f t="shared" si="38"/>
        <v/>
      </c>
      <c r="N99" s="1" t="str">
        <f t="shared" si="38"/>
        <v/>
      </c>
      <c r="O99" s="1" t="str">
        <f t="shared" si="38"/>
        <v/>
      </c>
      <c r="P99" s="1" t="str">
        <f t="shared" si="38"/>
        <v/>
      </c>
      <c r="Q99" s="62" t="str">
        <f t="shared" si="38"/>
        <v/>
      </c>
      <c r="R99" s="62" t="str">
        <f t="shared" si="38"/>
        <v/>
      </c>
      <c r="S99" s="62" t="str">
        <f t="shared" si="38"/>
        <v/>
      </c>
      <c r="T99" s="62" t="str">
        <f t="shared" si="38"/>
        <v/>
      </c>
      <c r="U99" s="62" t="str">
        <f t="shared" si="38"/>
        <v/>
      </c>
      <c r="V99" s="62" t="str">
        <f t="shared" si="38"/>
        <v/>
      </c>
      <c r="W99" s="62" t="str">
        <f t="shared" si="38"/>
        <v/>
      </c>
      <c r="X99" s="62" t="str">
        <f t="shared" si="38"/>
        <v/>
      </c>
      <c r="Y99" s="62" t="str">
        <f t="shared" si="38"/>
        <v/>
      </c>
      <c r="Z99" s="62" t="str">
        <f t="shared" si="38"/>
        <v/>
      </c>
      <c r="AA99" s="62" t="str">
        <f t="shared" si="38"/>
        <v/>
      </c>
      <c r="AB99" s="62" t="str">
        <f t="shared" si="38"/>
        <v/>
      </c>
      <c r="AC99" s="62" t="str">
        <f t="shared" si="38"/>
        <v/>
      </c>
      <c r="AD99" s="62" t="str">
        <f t="shared" si="38"/>
        <v/>
      </c>
      <c r="AE99" s="62" t="str">
        <f t="shared" si="38"/>
        <v/>
      </c>
      <c r="AF99" s="62" t="str">
        <f t="shared" si="38"/>
        <v/>
      </c>
      <c r="AG99" s="62" t="str">
        <f t="shared" si="38"/>
        <v/>
      </c>
      <c r="AH99" s="62" t="str">
        <f t="shared" si="38"/>
        <v/>
      </c>
      <c r="AI99" s="62" t="str">
        <f t="shared" si="38"/>
        <v/>
      </c>
      <c r="AJ99" s="62"/>
      <c r="AK99" s="62"/>
    </row>
    <row r="100">
      <c r="A100" s="238" t="str">
        <f t="array" ref="A100">LET(
    digit, IFERROR(VALUE(A99),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2-1</v>
      </c>
      <c r="B100" s="238" t="str">
        <f t="array" ref="B100">LET(
    digit, IFERROR(VALUE(B99),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5</v>
      </c>
      <c r="C100" s="238" t="str">
        <f t="array" ref="C100">LET(
    digit, IFERROR(VALUE(C99),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2-2</v>
      </c>
      <c r="D100" s="238" t="str">
        <f t="array" ref="D100">LET(
    digit, IFERROR(VALUE(D99),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2-1</v>
      </c>
      <c r="E100" s="238" t="str">
        <f t="array" ref="E100">LET(
    digit, IFERROR(VALUE(E99),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5</v>
      </c>
      <c r="F100" s="238" t="str">
        <f t="array" ref="F100">LET(
    digit, IFERROR(VALUE(F99),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>2-2</v>
      </c>
      <c r="G100" s="238" t="str">
        <f t="array" ref="G100">LET(
    digit, IFERROR(VALUE(G99),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H100" s="238" t="str">
        <f t="array" ref="H100">LET(
    digit, IFERROR(VALUE(H99),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I100" s="238" t="str">
        <f t="array" ref="I100">LET(
    digit, IFERROR(VALUE(I99),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J100" s="238" t="str">
        <f t="array" ref="J100">LET(
    digit, IFERROR(VALUE(J99),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K100" s="238" t="str">
        <f t="array" ref="K100">LET(
    digit, IFERROR(VALUE(K99),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L100" s="238" t="str">
        <f t="array" ref="L100">LET(
    digit, IFERROR(VALUE(L99),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M100" s="238" t="str">
        <f t="array" ref="M100">LET(
    digit, IFERROR(VALUE(M99),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N100" s="238" t="str">
        <f t="array" ref="N100">LET(
    digit, IFERROR(VALUE(N99),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O100" s="238" t="str">
        <f t="array" ref="O100">LET(
    digit, IFERROR(VALUE(O99),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P100" s="238" t="str">
        <f t="array" ref="P100">LET(
    digit, IFERROR(VALUE(P99),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Q100" s="238" t="str">
        <f t="array" ref="Q100">LET(
    digit, IFERROR(VALUE(Q99),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R100" s="238" t="str">
        <f t="array" ref="R100">LET(
    digit, IFERROR(VALUE(R99),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S100" s="238" t="str">
        <f t="array" ref="S100">LET(
    digit, IFERROR(VALUE(S99),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T100" s="238" t="str">
        <f t="array" ref="T100">LET(
    digit, IFERROR(VALUE(T99),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U100" s="238" t="str">
        <f t="array" ref="U100">LET(
    digit, IFERROR(VALUE(U99),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V100" s="238" t="str">
        <f t="array" ref="V100">LET(
    digit, IFERROR(VALUE(V99),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W100" s="238" t="str">
        <f t="array" ref="W100">LET(
    digit, IFERROR(VALUE(W99),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X100" s="238" t="str">
        <f t="array" ref="X100">LET(
    digit, IFERROR(VALUE(X99),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Y100" s="238" t="str">
        <f t="array" ref="Y100">LET(
    digit, IFERROR(VALUE(Y99),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Z100" s="238" t="str">
        <f t="array" ref="Z100">LET(
    digit, IFERROR(VALUE(Z99),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A100" s="238" t="str">
        <f t="array" ref="AA100">LET(
    digit, IFERROR(VALUE(AA99),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B100" s="238" t="str">
        <f t="array" ref="AB100">LET(
    digit, IFERROR(VALUE(AB99),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C100" s="238" t="str">
        <f t="array" ref="AC100">LET(
    digit, IFERROR(VALUE(AC99),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D100" s="238" t="str">
        <f t="array" ref="AD100">LET(
    digit, IFERROR(VALUE(AD99),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E100" s="238" t="str">
        <f t="array" ref="AE100">LET(
    digit, IFERROR(VALUE(AE99),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F100" s="238" t="str">
        <f t="array" ref="AF100">LET(
    digit, IFERROR(VALUE(AF99),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G100" s="238" t="str">
        <f t="array" ref="AG100">LET(
    digit, IFERROR(VALUE(AG99),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H100" s="238" t="str">
        <f t="array" ref="AH100">LET(
    digit, IFERROR(VALUE(AH99), 0),
    r23_val, $R$23,
    offset_cols, IFERROR(VALUE($C$32), 0),
    current_col, COLUMN(),
    start_col_idx, IF(current_col &lt;= offset_cols, 1, offset_cols + 1),
    end_col_idx, current_col - 1,
    is_valid_range, end_col_idx &gt;= start_col_idx,
    search_range_string, IF(is_valid_range,
                           ADDRESS(ROW(), start_col_idx) &amp; ":" &amp; ADDRESS(ROW(), end_col_idx),
                           ""),
    search_range, IF(is_valid_range, INDIRECT(search_range_string), ""),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I100" s="238" t="str">
        <f t="array" ref="AI100">LET(
    digit, IFERROR(VALUE(AI99), 0),
    r23_val, $R$23,
    search_range, INDIRECT("A"&amp;ROW()&amp;":"&amp;ADDRESS(ROW(),COLUMN()-1)),
    find_closest, LAMBDA(targets,
        LET(
            match_cols, IF(ISNUMBER(MATCH(search_range, targets, 0)), COLUMN(search_range), 0),
            max_col, MAX(match_cols),
            IF(max_col=0, "NOT_FOUND", INDEX(INDIRECT(ROW()&amp;":"&amp;ROW()), 1, max_col))
        )
    ),
    IFS(
        digit=1, LET(closest, find_closest({"1-1","2-1","1-2","2-2"}), IF(OR(closest="1-2", closest="2-2", closest="NOT_FOUND"), "1-1", "1-2")),
        digit=2, LET(closest, find_closest({"1-1","2-1","1-2","2-2"}), IF(OR(closest="1-2", closest="2-2", closest="NOT_FOUND"), "2-1", "2-2")),
        digit=3, "3",
        digit=4, LET(closest, find_closest({"4-1","4-2","4-3"}), IFS(OR(closest="4-3", closest="NOT_FOUND"), "4-1", closest="4-1", "4-2", closest="4-2", "4-3")),
        digit=5, IF(r23_val="강격", "5", LET(closest, find_closest({"5-1","5-2","5-3"}), IFS(OR(closest="5-3", closest="NOT_FOUND"), "5-1", closest="5-1", "5-2", closest="5-2", "5-3"))),
        TRUE, ""
    )
)</f>
        <v/>
      </c>
      <c r="AJ100" s="238" t="s">
        <v>470</v>
      </c>
      <c r="AK100" s="62" t="s">
        <v>107</v>
      </c>
    </row>
    <row r="101">
      <c r="A101" s="151">
        <f t="shared" ref="A101:AH101" si="39">IFNA(OFFSET(INDEX($24:$24, MATCH(A100, $24:$24, 0)), 5, 1), "")*if(A100="2-2",3,1)</f>
        <v>1.82559</v>
      </c>
      <c r="B101" s="151">
        <f t="shared" si="39"/>
        <v>6.27266</v>
      </c>
      <c r="C101" s="151">
        <f t="shared" si="39"/>
        <v>6.1173</v>
      </c>
      <c r="D101" s="151">
        <f t="shared" si="39"/>
        <v>1.82559</v>
      </c>
      <c r="E101" s="151">
        <f t="shared" si="39"/>
        <v>6.27266</v>
      </c>
      <c r="F101" s="151">
        <f t="shared" si="39"/>
        <v>6.1173</v>
      </c>
      <c r="G101" s="151">
        <f t="shared" si="39"/>
        <v>0</v>
      </c>
      <c r="H101" s="151">
        <f t="shared" si="39"/>
        <v>0</v>
      </c>
      <c r="I101" s="151">
        <f t="shared" si="39"/>
        <v>0</v>
      </c>
      <c r="J101" s="151">
        <f t="shared" si="39"/>
        <v>0</v>
      </c>
      <c r="K101" s="151">
        <f t="shared" si="39"/>
        <v>0</v>
      </c>
      <c r="L101" s="151">
        <f t="shared" si="39"/>
        <v>0</v>
      </c>
      <c r="M101" s="151">
        <f t="shared" si="39"/>
        <v>0</v>
      </c>
      <c r="N101" s="151">
        <f t="shared" si="39"/>
        <v>0</v>
      </c>
      <c r="O101" s="151">
        <f t="shared" si="39"/>
        <v>0</v>
      </c>
      <c r="P101" s="151">
        <f t="shared" si="39"/>
        <v>0</v>
      </c>
      <c r="Q101" s="151">
        <f t="shared" si="39"/>
        <v>0</v>
      </c>
      <c r="R101" s="151">
        <f t="shared" si="39"/>
        <v>0</v>
      </c>
      <c r="S101" s="151">
        <f t="shared" si="39"/>
        <v>0</v>
      </c>
      <c r="T101" s="151">
        <f t="shared" si="39"/>
        <v>0</v>
      </c>
      <c r="U101" s="151">
        <f t="shared" si="39"/>
        <v>0</v>
      </c>
      <c r="V101" s="151">
        <f t="shared" si="39"/>
        <v>0</v>
      </c>
      <c r="W101" s="151">
        <f t="shared" si="39"/>
        <v>0</v>
      </c>
      <c r="X101" s="151">
        <f t="shared" si="39"/>
        <v>0</v>
      </c>
      <c r="Y101" s="151">
        <f t="shared" si="39"/>
        <v>0</v>
      </c>
      <c r="Z101" s="151">
        <f t="shared" si="39"/>
        <v>0</v>
      </c>
      <c r="AA101" s="151">
        <f t="shared" si="39"/>
        <v>0</v>
      </c>
      <c r="AB101" s="151">
        <f t="shared" si="39"/>
        <v>0</v>
      </c>
      <c r="AC101" s="151">
        <f t="shared" si="39"/>
        <v>0</v>
      </c>
      <c r="AD101" s="151">
        <f t="shared" si="39"/>
        <v>0</v>
      </c>
      <c r="AE101" s="151">
        <f t="shared" si="39"/>
        <v>0</v>
      </c>
      <c r="AF101" s="151">
        <f t="shared" si="39"/>
        <v>0</v>
      </c>
      <c r="AG101" s="151">
        <f t="shared" si="39"/>
        <v>0</v>
      </c>
      <c r="AH101" s="151">
        <f t="shared" si="39"/>
        <v>0</v>
      </c>
      <c r="AI101" s="62"/>
      <c r="AJ101" s="62"/>
      <c r="AK101" s="62" t="s">
        <v>469</v>
      </c>
    </row>
    <row r="102">
      <c r="A102" s="1"/>
      <c r="B102" s="1"/>
      <c r="C102" s="151" t="str">
        <f t="shared" ref="C102:AH102" si="40">IFS(
    OR(C100="3", ISBLANK(C100)), "",
    AND(B100="3", OR(A100="1-1", A100="2-1", A100="4-2", A100="5-2")), 0.35,
    OR(B100="1-1", B100="2-1", B100="4-2", B100="5-2"), 0.35,
    TRUE, ""
)</f>
        <v/>
      </c>
      <c r="D102" s="1" t="str">
        <f t="shared" si="40"/>
        <v/>
      </c>
      <c r="E102" s="1">
        <f t="shared" si="40"/>
        <v>0.35</v>
      </c>
      <c r="F102" s="1" t="str">
        <f t="shared" si="40"/>
        <v/>
      </c>
      <c r="G102" s="151" t="str">
        <f t="shared" si="40"/>
        <v/>
      </c>
      <c r="H102" s="1" t="str">
        <f t="shared" si="40"/>
        <v/>
      </c>
      <c r="I102" s="1" t="str">
        <f t="shared" si="40"/>
        <v/>
      </c>
      <c r="J102" s="1" t="str">
        <f t="shared" si="40"/>
        <v/>
      </c>
      <c r="K102" s="151" t="str">
        <f t="shared" si="40"/>
        <v/>
      </c>
      <c r="L102" s="62" t="str">
        <f t="shared" si="40"/>
        <v/>
      </c>
      <c r="M102" s="1" t="str">
        <f t="shared" si="40"/>
        <v/>
      </c>
      <c r="N102" s="1" t="str">
        <f t="shared" si="40"/>
        <v/>
      </c>
      <c r="O102" s="151" t="str">
        <f t="shared" si="40"/>
        <v/>
      </c>
      <c r="P102" s="1" t="str">
        <f t="shared" si="40"/>
        <v/>
      </c>
      <c r="Q102" s="62" t="str">
        <f t="shared" si="40"/>
        <v/>
      </c>
      <c r="R102" s="62" t="str">
        <f t="shared" si="40"/>
        <v/>
      </c>
      <c r="S102" s="62" t="str">
        <f t="shared" si="40"/>
        <v/>
      </c>
      <c r="T102" s="62" t="str">
        <f t="shared" si="40"/>
        <v/>
      </c>
      <c r="U102" s="62" t="str">
        <f t="shared" si="40"/>
        <v/>
      </c>
      <c r="V102" s="62" t="str">
        <f t="shared" si="40"/>
        <v/>
      </c>
      <c r="W102" s="62" t="str">
        <f t="shared" si="40"/>
        <v/>
      </c>
      <c r="X102" s="62" t="str">
        <f t="shared" si="40"/>
        <v/>
      </c>
      <c r="Y102" s="62" t="str">
        <f t="shared" si="40"/>
        <v/>
      </c>
      <c r="Z102" s="62" t="str">
        <f t="shared" si="40"/>
        <v/>
      </c>
      <c r="AA102" s="62" t="str">
        <f t="shared" si="40"/>
        <v/>
      </c>
      <c r="AB102" s="62" t="str">
        <f t="shared" si="40"/>
        <v/>
      </c>
      <c r="AC102" s="62" t="str">
        <f t="shared" si="40"/>
        <v/>
      </c>
      <c r="AD102" s="62" t="str">
        <f t="shared" si="40"/>
        <v/>
      </c>
      <c r="AE102" s="62" t="str">
        <f t="shared" si="40"/>
        <v/>
      </c>
      <c r="AF102" s="62" t="str">
        <f t="shared" si="40"/>
        <v/>
      </c>
      <c r="AG102" s="62" t="str">
        <f t="shared" si="40"/>
        <v/>
      </c>
      <c r="AH102" s="62" t="str">
        <f t="shared" si="40"/>
        <v/>
      </c>
      <c r="AI102" s="62"/>
      <c r="AJ102" s="62"/>
      <c r="AK102" s="62" t="s">
        <v>471</v>
      </c>
    </row>
    <row r="103">
      <c r="A103" s="1"/>
      <c r="B103" s="1"/>
      <c r="C103" s="1" t="str">
        <f t="shared" ref="C103:AH103" si="41">IF(OR(C100="4-1", C100="4-2", C100="4-3"), C101, "")</f>
        <v/>
      </c>
      <c r="D103" s="1" t="str">
        <f t="shared" si="41"/>
        <v/>
      </c>
      <c r="E103" s="1" t="str">
        <f t="shared" si="41"/>
        <v/>
      </c>
      <c r="F103" s="1" t="str">
        <f t="shared" si="41"/>
        <v/>
      </c>
      <c r="G103" s="1" t="str">
        <f t="shared" si="41"/>
        <v/>
      </c>
      <c r="H103" s="1" t="str">
        <f t="shared" si="41"/>
        <v/>
      </c>
      <c r="I103" s="1" t="str">
        <f t="shared" si="41"/>
        <v/>
      </c>
      <c r="J103" s="1" t="str">
        <f t="shared" si="41"/>
        <v/>
      </c>
      <c r="K103" s="1" t="str">
        <f t="shared" si="41"/>
        <v/>
      </c>
      <c r="L103" s="62" t="str">
        <f t="shared" si="41"/>
        <v/>
      </c>
      <c r="M103" s="1" t="str">
        <f t="shared" si="41"/>
        <v/>
      </c>
      <c r="N103" s="1" t="str">
        <f t="shared" si="41"/>
        <v/>
      </c>
      <c r="O103" s="1" t="str">
        <f t="shared" si="41"/>
        <v/>
      </c>
      <c r="P103" s="1" t="str">
        <f t="shared" si="41"/>
        <v/>
      </c>
      <c r="Q103" s="62" t="str">
        <f t="shared" si="41"/>
        <v/>
      </c>
      <c r="R103" s="62" t="str">
        <f t="shared" si="41"/>
        <v/>
      </c>
      <c r="S103" s="62" t="str">
        <f t="shared" si="41"/>
        <v/>
      </c>
      <c r="T103" s="62" t="str">
        <f t="shared" si="41"/>
        <v/>
      </c>
      <c r="U103" s="62" t="str">
        <f t="shared" si="41"/>
        <v/>
      </c>
      <c r="V103" s="62" t="str">
        <f t="shared" si="41"/>
        <v/>
      </c>
      <c r="W103" s="62" t="str">
        <f t="shared" si="41"/>
        <v/>
      </c>
      <c r="X103" s="62" t="str">
        <f t="shared" si="41"/>
        <v/>
      </c>
      <c r="Y103" s="62" t="str">
        <f t="shared" si="41"/>
        <v/>
      </c>
      <c r="Z103" s="62" t="str">
        <f t="shared" si="41"/>
        <v/>
      </c>
      <c r="AA103" s="62" t="str">
        <f t="shared" si="41"/>
        <v/>
      </c>
      <c r="AB103" s="62" t="str">
        <f t="shared" si="41"/>
        <v/>
      </c>
      <c r="AC103" s="62" t="str">
        <f t="shared" si="41"/>
        <v/>
      </c>
      <c r="AD103" s="62" t="str">
        <f t="shared" si="41"/>
        <v/>
      </c>
      <c r="AE103" s="62" t="str">
        <f t="shared" si="41"/>
        <v/>
      </c>
      <c r="AF103" s="62" t="str">
        <f t="shared" si="41"/>
        <v/>
      </c>
      <c r="AG103" s="62" t="str">
        <f t="shared" si="41"/>
        <v/>
      </c>
      <c r="AH103" s="62" t="str">
        <f t="shared" si="41"/>
        <v/>
      </c>
      <c r="AI103" s="62"/>
      <c r="AJ103" s="62"/>
      <c r="AK103" s="62" t="s">
        <v>461</v>
      </c>
    </row>
    <row r="104">
      <c r="A104" s="1"/>
      <c r="B104" s="1"/>
      <c r="C104" s="151">
        <f t="shared" ref="C104:AH104" si="42">if(C100="3",0,0.15)</f>
        <v>0.15</v>
      </c>
      <c r="D104" s="151">
        <f t="shared" si="42"/>
        <v>0.15</v>
      </c>
      <c r="E104" s="151">
        <f t="shared" si="42"/>
        <v>0.15</v>
      </c>
      <c r="F104" s="151">
        <f t="shared" si="42"/>
        <v>0.15</v>
      </c>
      <c r="G104" s="151">
        <f t="shared" si="42"/>
        <v>0.15</v>
      </c>
      <c r="H104" s="151">
        <f t="shared" si="42"/>
        <v>0.15</v>
      </c>
      <c r="I104" s="151">
        <f t="shared" si="42"/>
        <v>0.15</v>
      </c>
      <c r="J104" s="151">
        <f t="shared" si="42"/>
        <v>0.15</v>
      </c>
      <c r="K104" s="151">
        <f t="shared" si="42"/>
        <v>0.15</v>
      </c>
      <c r="L104" s="258">
        <f t="shared" si="42"/>
        <v>0.15</v>
      </c>
      <c r="M104" s="151">
        <f t="shared" si="42"/>
        <v>0.15</v>
      </c>
      <c r="N104" s="151">
        <f t="shared" si="42"/>
        <v>0.15</v>
      </c>
      <c r="O104" s="151">
        <f t="shared" si="42"/>
        <v>0.15</v>
      </c>
      <c r="P104" s="151">
        <f t="shared" si="42"/>
        <v>0.15</v>
      </c>
      <c r="Q104" s="258">
        <f t="shared" si="42"/>
        <v>0.15</v>
      </c>
      <c r="R104" s="258">
        <f t="shared" si="42"/>
        <v>0.15</v>
      </c>
      <c r="S104" s="258">
        <f t="shared" si="42"/>
        <v>0.15</v>
      </c>
      <c r="T104" s="258">
        <f t="shared" si="42"/>
        <v>0.15</v>
      </c>
      <c r="U104" s="258">
        <f t="shared" si="42"/>
        <v>0.15</v>
      </c>
      <c r="V104" s="258">
        <f t="shared" si="42"/>
        <v>0.15</v>
      </c>
      <c r="W104" s="258">
        <f t="shared" si="42"/>
        <v>0.15</v>
      </c>
      <c r="X104" s="258">
        <f t="shared" si="42"/>
        <v>0.15</v>
      </c>
      <c r="Y104" s="258">
        <f t="shared" si="42"/>
        <v>0.15</v>
      </c>
      <c r="Z104" s="258">
        <f t="shared" si="42"/>
        <v>0.15</v>
      </c>
      <c r="AA104" s="258">
        <f t="shared" si="42"/>
        <v>0.15</v>
      </c>
      <c r="AB104" s="258">
        <f t="shared" si="42"/>
        <v>0.15</v>
      </c>
      <c r="AC104" s="258">
        <f t="shared" si="42"/>
        <v>0.15</v>
      </c>
      <c r="AD104" s="258">
        <f t="shared" si="42"/>
        <v>0.15</v>
      </c>
      <c r="AE104" s="258">
        <f t="shared" si="42"/>
        <v>0.15</v>
      </c>
      <c r="AF104" s="258">
        <f t="shared" si="42"/>
        <v>0.15</v>
      </c>
      <c r="AG104" s="258">
        <f t="shared" si="42"/>
        <v>0.15</v>
      </c>
      <c r="AH104" s="258">
        <f t="shared" si="42"/>
        <v>0.15</v>
      </c>
      <c r="AI104" s="62"/>
      <c r="AJ104" s="62"/>
      <c r="AK104" s="62" t="s">
        <v>472</v>
      </c>
    </row>
    <row r="105">
      <c r="A105" s="1"/>
      <c r="B105" s="1"/>
      <c r="C105" s="151">
        <f>IFERROR(__xludf.DUMMYFUNCTION("LET(
    target_regex, ""^5$|^5-3$|^1-2$|^2-2$|^4-3$"",
    IF(REGEXMATCH(TO_TEXT(C100), target_regex),
        IF(B100=""2-1"", 0.5,
        IF(REGEXMATCH(TO_TEXT(B100), target_regex), 0,
            IF(A100=""2-1"", 0.5,
            IF(REGEXMATCH(TO_TEX"&amp;"T(A100), target_regex), 0,
                IF(#REF!=""2-1"", 0.5,
                IF(REGEXMATCH(TO_TEXT(#REF!), target_regex), 0,
                    IF(#REF!=""2-1"", 0.5,
                    IF(REGEXMATCH(TO_TEXT(#REF!), target_regex), 0, """")
        "&amp;"            )
                ))
            ))
        )),
    """")
)*IF($F$23=""전진"", 1, 0)"),0.0)</f>
        <v>0</v>
      </c>
      <c r="D105" s="151">
        <f>IFERROR(__xludf.DUMMYFUNCTION("LET(
    target_regex, ""^5$|^5-3$|^1-2$|^2-2$|^4-3$"",
    IF(REGEXMATCH(TO_TEXT(D100), target_regex),
        IF(C100=""2-1"", 0.5,
        IF(REGEXMATCH(TO_TEXT(C100), target_regex), 0,
            IF(B100=""2-1"", 0.5,
            IF(REGEXMATCH(TO_TEX"&amp;"T(B100), target_regex), 0,
                IF(A100=""2-1"", 0.5,
                IF(REGEXMATCH(TO_TEXT(A100), target_regex), 0,
                    IF(#REF!=""2-1"", 0.5,
                    IF(REGEXMATCH(TO_TEXT(#REF!), target_regex), 0, """")
          "&amp;"          )
                ))
            ))
        )),
    """")
)*IF($F$23=""전진"", 1, 0)"),0.0)</f>
        <v>0</v>
      </c>
      <c r="E105" s="151">
        <f>IFERROR(__xludf.DUMMYFUNCTION("LET(
    target_regex, ""^5$|^5-3$|^1-2$|^2-2$|^4-3$"",
    IF(REGEXMATCH(TO_TEXT(E100), target_regex),
        IF(D100=""2-1"", 0.5,
        IF(REGEXMATCH(TO_TEXT(D100), target_regex), 0,
            IF(C100=""2-1"", 0.5,
            IF(REGEXMATCH(TO_TEX"&amp;"T(C100), target_regex), 0,
                IF(B100=""2-1"", 0.5,
                IF(REGEXMATCH(TO_TEXT(B100), target_regex), 0,
                    IF(A100=""2-1"", 0.5,
                    IF(REGEXMATCH(TO_TEXT(A100), target_regex), 0, """")
            "&amp;"        )
                ))
            ))
        )),
    """")
)*IF($F$23=""전진"", 1, 0)"),0.5)</f>
        <v>0.5</v>
      </c>
      <c r="F105" s="151">
        <f>IFERROR(__xludf.DUMMYFUNCTION("LET(
    target_regex, ""^5$|^5-3$|^1-2$|^2-2$|^4-3$"",
    IF(REGEXMATCH(TO_TEXT(F100), target_regex),
        IF(E100=""2-1"", 0.5,
        IF(REGEXMATCH(TO_TEXT(E100), target_regex), 0,
            IF(D100=""2-1"", 0.5,
            IF(REGEXMATCH(TO_TEX"&amp;"T(D100), target_regex), 0,
                IF(C100=""2-1"", 0.5,
                IF(REGEXMATCH(TO_TEXT(C100), target_regex), 0,
                    IF(B100=""2-1"", 0.5,
                    IF(REGEXMATCH(TO_TEXT(B100), target_regex), 0, """")
            "&amp;"        )
                ))
            ))
        )),
    """")
)*IF($F$23=""전진"", 1, 0)"),0.0)</f>
        <v>0</v>
      </c>
      <c r="G105" s="151">
        <f>IFERROR(__xludf.DUMMYFUNCTION("LET(
    target_regex, ""^5$|^5-3$|^1-2$|^2-2$|^4-3$"",
    IF(REGEXMATCH(TO_TEXT(G100), target_regex),
        IF(F100=""2-1"", 0.5,
        IF(REGEXMATCH(TO_TEXT(F100), target_regex), 0,
            IF(E100=""2-1"", 0.5,
            IF(REGEXMATCH(TO_TEX"&amp;"T(E100), target_regex), 0,
                IF(D100=""2-1"", 0.5,
                IF(REGEXMATCH(TO_TEXT(D100), target_regex), 0,
                    IF(C100=""2-1"", 0.5,
                    IF(REGEXMATCH(TO_TEXT(C100), target_regex), 0, """")
            "&amp;"        )
                ))
            ))
        )),
    """")
)*IF($F$23=""전진"", 1, 0)"),0.0)</f>
        <v>0</v>
      </c>
      <c r="H105" s="151">
        <f>IFERROR(__xludf.DUMMYFUNCTION("LET(
    target_regex, ""^5$|^5-3$|^1-2$|^2-2$|^4-3$"",
    IF(REGEXMATCH(TO_TEXT(H100), target_regex),
        IF(G100=""2-1"", 0.5,
        IF(REGEXMATCH(TO_TEXT(G100), target_regex), 0,
            IF(F100=""2-1"", 0.5,
            IF(REGEXMATCH(TO_TEX"&amp;"T(F100), target_regex), 0,
                IF(E100=""2-1"", 0.5,
                IF(REGEXMATCH(TO_TEXT(E100), target_regex), 0,
                    IF(D100=""2-1"", 0.5,
                    IF(REGEXMATCH(TO_TEXT(D100), target_regex), 0, """")
            "&amp;"        )
                ))
            ))
        )),
    """")
)*IF($F$23=""전진"", 1, 0)"),0.0)</f>
        <v>0</v>
      </c>
      <c r="I105" s="151">
        <f>IFERROR(__xludf.DUMMYFUNCTION("LET(
    target_regex, ""^5$|^5-3$|^1-2$|^2-2$|^4-3$"",
    IF(REGEXMATCH(TO_TEXT(I100), target_regex),
        IF(H100=""2-1"", 0.5,
        IF(REGEXMATCH(TO_TEXT(H100), target_regex), 0,
            IF(G100=""2-1"", 0.5,
            IF(REGEXMATCH(TO_TEX"&amp;"T(G100), target_regex), 0,
                IF(F100=""2-1"", 0.5,
                IF(REGEXMATCH(TO_TEXT(F100), target_regex), 0,
                    IF(E100=""2-1"", 0.5,
                    IF(REGEXMATCH(TO_TEXT(E100), target_regex), 0, """")
            "&amp;"        )
                ))
            ))
        )),
    """")
)*IF($F$23=""전진"", 1, 0)"),0.0)</f>
        <v>0</v>
      </c>
      <c r="J105" s="151">
        <f>IFERROR(__xludf.DUMMYFUNCTION("LET(
    target_regex, ""^5$|^5-3$|^1-2$|^2-2$|^4-3$"",
    IF(REGEXMATCH(TO_TEXT(J100), target_regex),
        IF(I100=""2-1"", 0.5,
        IF(REGEXMATCH(TO_TEXT(I100), target_regex), 0,
            IF(H100=""2-1"", 0.5,
            IF(REGEXMATCH(TO_TEX"&amp;"T(H100), target_regex), 0,
                IF(G100=""2-1"", 0.5,
                IF(REGEXMATCH(TO_TEXT(G100), target_regex), 0,
                    IF(F100=""2-1"", 0.5,
                    IF(REGEXMATCH(TO_TEXT(F100), target_regex), 0, """")
            "&amp;"        )
                ))
            ))
        )),
    """")
)*IF($F$23=""전진"", 1, 0)"),0.0)</f>
        <v>0</v>
      </c>
      <c r="K105" s="151">
        <f>IFERROR(__xludf.DUMMYFUNCTION("LET(
    target_regex, ""^5$|^5-3$|^1-2$|^2-2$|^4-3$"",
    IF(REGEXMATCH(TO_TEXT(K100), target_regex),
        IF(J100=""2-1"", 0.5,
        IF(REGEXMATCH(TO_TEXT(J100), target_regex), 0,
            IF(I100=""2-1"", 0.5,
            IF(REGEXMATCH(TO_TEX"&amp;"T(I100), target_regex), 0,
                IF(H100=""2-1"", 0.5,
                IF(REGEXMATCH(TO_TEXT(H100), target_regex), 0,
                    IF(G100=""2-1"", 0.5,
                    IF(REGEXMATCH(TO_TEXT(G100), target_regex), 0, """")
            "&amp;"        )
                ))
            ))
        )),
    """")
)*IF($F$23=""전진"", 1, 0)"),0.0)</f>
        <v>0</v>
      </c>
      <c r="L105" s="258">
        <f>IFERROR(__xludf.DUMMYFUNCTION("LET(
    target_regex, ""^5$|^5-3$|^1-2$|^2-2$|^4-3$"",
    IF(REGEXMATCH(TO_TEXT(L100), target_regex),
        IF(K100=""2-1"", 0.5,
        IF(REGEXMATCH(TO_TEXT(K100), target_regex), 0,
            IF(J100=""2-1"", 0.5,
            IF(REGEXMATCH(TO_TEX"&amp;"T(J100), target_regex), 0,
                IF(I100=""2-1"", 0.5,
                IF(REGEXMATCH(TO_TEXT(I100), target_regex), 0,
                    IF(H100=""2-1"", 0.5,
                    IF(REGEXMATCH(TO_TEXT(H100), target_regex), 0, """")
            "&amp;"        )
                ))
            ))
        )),
    """")
)*IF($F$23=""전진"", 1, 0)"),0.0)</f>
        <v>0</v>
      </c>
      <c r="M105" s="151">
        <f>IFERROR(__xludf.DUMMYFUNCTION("LET(
    target_regex, ""^5$|^5-3$|^1-2$|^2-2$|^4-3$"",
    IF(REGEXMATCH(TO_TEXT(M100), target_regex),
        IF(L100=""2-1"", 0.5,
        IF(REGEXMATCH(TO_TEXT(L100), target_regex), 0,
            IF(K100=""2-1"", 0.5,
            IF(REGEXMATCH(TO_TEX"&amp;"T(K100), target_regex), 0,
                IF(J100=""2-1"", 0.5,
                IF(REGEXMATCH(TO_TEXT(J100), target_regex), 0,
                    IF(I100=""2-1"", 0.5,
                    IF(REGEXMATCH(TO_TEXT(I100), target_regex), 0, """")
            "&amp;"        )
                ))
            ))
        )),
    """")
)*IF($F$23=""전진"", 1, 0)"),0.0)</f>
        <v>0</v>
      </c>
      <c r="N105" s="151">
        <f>IFERROR(__xludf.DUMMYFUNCTION("LET(
    target_regex, ""^5$|^5-3$|^1-2$|^2-2$|^4-3$"",
    IF(REGEXMATCH(TO_TEXT(N100), target_regex),
        IF(M100=""2-1"", 0.5,
        IF(REGEXMATCH(TO_TEXT(M100), target_regex), 0,
            IF(L100=""2-1"", 0.5,
            IF(REGEXMATCH(TO_TEX"&amp;"T(L100), target_regex), 0,
                IF(K100=""2-1"", 0.5,
                IF(REGEXMATCH(TO_TEXT(K100), target_regex), 0,
                    IF(J100=""2-1"", 0.5,
                    IF(REGEXMATCH(TO_TEXT(J100), target_regex), 0, """")
            "&amp;"        )
                ))
            ))
        )),
    """")
)*IF($F$23=""전진"", 1, 0)"),0.0)</f>
        <v>0</v>
      </c>
      <c r="O105" s="151">
        <f>IFERROR(__xludf.DUMMYFUNCTION("LET(
    target_regex, ""^5$|^5-3$|^1-2$|^2-2$|^4-3$"",
    IF(REGEXMATCH(TO_TEXT(O100), target_regex),
        IF(N100=""2-1"", 0.5,
        IF(REGEXMATCH(TO_TEXT(N100), target_regex), 0,
            IF(M100=""2-1"", 0.5,
            IF(REGEXMATCH(TO_TEX"&amp;"T(M100), target_regex), 0,
                IF(L100=""2-1"", 0.5,
                IF(REGEXMATCH(TO_TEXT(L100), target_regex), 0,
                    IF(K100=""2-1"", 0.5,
                    IF(REGEXMATCH(TO_TEXT(K100), target_regex), 0, """")
            "&amp;"        )
                ))
            ))
        )),
    """")
)*IF($F$23=""전진"", 1, 0)"),0.0)</f>
        <v>0</v>
      </c>
      <c r="P105" s="151">
        <f>IFERROR(__xludf.DUMMYFUNCTION("LET(
    target_regex, ""^5$|^5-3$|^1-2$|^2-2$|^4-3$"",
    IF(REGEXMATCH(TO_TEXT(P100), target_regex),
        IF(O100=""2-1"", 0.5,
        IF(REGEXMATCH(TO_TEXT(O100), target_regex), 0,
            IF(N100=""2-1"", 0.5,
            IF(REGEXMATCH(TO_TEX"&amp;"T(N100), target_regex), 0,
                IF(M100=""2-1"", 0.5,
                IF(REGEXMATCH(TO_TEXT(M100), target_regex), 0,
                    IF(L100=""2-1"", 0.5,
                    IF(REGEXMATCH(TO_TEXT(L100), target_regex), 0, """")
            "&amp;"        )
                ))
            ))
        )),
    """")
)*IF($F$23=""전진"", 1, 0)"),0.0)</f>
        <v>0</v>
      </c>
      <c r="Q105" s="258">
        <f>IFERROR(__xludf.DUMMYFUNCTION("LET(
    target_regex, ""^5$|^5-3$|^1-2$|^2-2$|^4-3$"",
    IF(REGEXMATCH(TO_TEXT(Q100), target_regex),
        IF(P100=""2-1"", 0.5,
        IF(REGEXMATCH(TO_TEXT(P100), target_regex), 0,
            IF(O100=""2-1"", 0.5,
            IF(REGEXMATCH(TO_TEX"&amp;"T(O100), target_regex), 0,
                IF(N100=""2-1"", 0.5,
                IF(REGEXMATCH(TO_TEXT(N100), target_regex), 0,
                    IF(M100=""2-1"", 0.5,
                    IF(REGEXMATCH(TO_TEXT(M100), target_regex), 0, """")
            "&amp;"        )
                ))
            ))
        )),
    """")
)*IF($F$23=""전진"", 1, 0)"),0.0)</f>
        <v>0</v>
      </c>
      <c r="R105" s="258">
        <f>IFERROR(__xludf.DUMMYFUNCTION("LET(
    target_regex, ""^5$|^5-3$|^1-2$|^2-2$|^4-3$"",
    IF(REGEXMATCH(TO_TEXT(R100), target_regex),
        IF(Q100=""2-1"", 0.5,
        IF(REGEXMATCH(TO_TEXT(Q100), target_regex), 0,
            IF(P100=""2-1"", 0.5,
            IF(REGEXMATCH(TO_TEX"&amp;"T(P100), target_regex), 0,
                IF(O100=""2-1"", 0.5,
                IF(REGEXMATCH(TO_TEXT(O100), target_regex), 0,
                    IF(N100=""2-1"", 0.5,
                    IF(REGEXMATCH(TO_TEXT(N100), target_regex), 0, """")
            "&amp;"        )
                ))
            ))
        )),
    """")
)*IF($F$23=""전진"", 1, 0)"),0.0)</f>
        <v>0</v>
      </c>
      <c r="S105" s="258">
        <f>IFERROR(__xludf.DUMMYFUNCTION("LET(
    target_regex, ""^5$|^5-3$|^1-2$|^2-2$|^4-3$"",
    IF(REGEXMATCH(TO_TEXT(S100), target_regex),
        IF(R100=""2-1"", 0.5,
        IF(REGEXMATCH(TO_TEXT(R100), target_regex), 0,
            IF(Q100=""2-1"", 0.5,
            IF(REGEXMATCH(TO_TEX"&amp;"T(Q100), target_regex), 0,
                IF(P100=""2-1"", 0.5,
                IF(REGEXMATCH(TO_TEXT(P100), target_regex), 0,
                    IF(O100=""2-1"", 0.5,
                    IF(REGEXMATCH(TO_TEXT(O100), target_regex), 0, """")
            "&amp;"        )
                ))
            ))
        )),
    """")
)*IF($F$23=""전진"", 1, 0)"),0.0)</f>
        <v>0</v>
      </c>
      <c r="T105" s="258">
        <f>IFERROR(__xludf.DUMMYFUNCTION("LET(
    target_regex, ""^5$|^5-3$|^1-2$|^2-2$|^4-3$"",
    IF(REGEXMATCH(TO_TEXT(T100), target_regex),
        IF(S100=""2-1"", 0.5,
        IF(REGEXMATCH(TO_TEXT(S100), target_regex), 0,
            IF(R100=""2-1"", 0.5,
            IF(REGEXMATCH(TO_TEX"&amp;"T(R100), target_regex), 0,
                IF(Q100=""2-1"", 0.5,
                IF(REGEXMATCH(TO_TEXT(Q100), target_regex), 0,
                    IF(P100=""2-1"", 0.5,
                    IF(REGEXMATCH(TO_TEXT(P100), target_regex), 0, """")
            "&amp;"        )
                ))
            ))
        )),
    """")
)*IF($F$23=""전진"", 1, 0)"),0.0)</f>
        <v>0</v>
      </c>
      <c r="U105" s="258">
        <f>IFERROR(__xludf.DUMMYFUNCTION("LET(
    target_regex, ""^5$|^5-3$|^1-2$|^2-2$|^4-3$"",
    IF(REGEXMATCH(TO_TEXT(U100), target_regex),
        IF(T100=""2-1"", 0.5,
        IF(REGEXMATCH(TO_TEXT(T100), target_regex), 0,
            IF(S100=""2-1"", 0.5,
            IF(REGEXMATCH(TO_TEX"&amp;"T(S100), target_regex), 0,
                IF(R100=""2-1"", 0.5,
                IF(REGEXMATCH(TO_TEXT(R100), target_regex), 0,
                    IF(Q100=""2-1"", 0.5,
                    IF(REGEXMATCH(TO_TEXT(Q100), target_regex), 0, """")
            "&amp;"        )
                ))
            ))
        )),
    """")
)*IF($F$23=""전진"", 1, 0)"),0.0)</f>
        <v>0</v>
      </c>
      <c r="V105" s="258">
        <f>IFERROR(__xludf.DUMMYFUNCTION("LET(
    target_regex, ""^5$|^5-3$|^1-2$|^2-2$|^4-3$"",
    IF(REGEXMATCH(TO_TEXT(V100), target_regex),
        IF(U100=""2-1"", 0.5,
        IF(REGEXMATCH(TO_TEXT(U100), target_regex), 0,
            IF(T100=""2-1"", 0.5,
            IF(REGEXMATCH(TO_TEX"&amp;"T(T100), target_regex), 0,
                IF(S100=""2-1"", 0.5,
                IF(REGEXMATCH(TO_TEXT(S100), target_regex), 0,
                    IF(R100=""2-1"", 0.5,
                    IF(REGEXMATCH(TO_TEXT(R100), target_regex), 0, """")
            "&amp;"        )
                ))
            ))
        )),
    """")
)*IF($F$23=""전진"", 1, 0)"),0.0)</f>
        <v>0</v>
      </c>
      <c r="W105" s="258">
        <f>IFERROR(__xludf.DUMMYFUNCTION("LET(
    target_regex, ""^5$|^5-3$|^1-2$|^2-2$|^4-3$"",
    IF(REGEXMATCH(TO_TEXT(W100), target_regex),
        IF(V100=""2-1"", 0.5,
        IF(REGEXMATCH(TO_TEXT(V100), target_regex), 0,
            IF(U100=""2-1"", 0.5,
            IF(REGEXMATCH(TO_TEX"&amp;"T(U100), target_regex), 0,
                IF(T100=""2-1"", 0.5,
                IF(REGEXMATCH(TO_TEXT(T100), target_regex), 0,
                    IF(S100=""2-1"", 0.5,
                    IF(REGEXMATCH(TO_TEXT(S100), target_regex), 0, """")
            "&amp;"        )
                ))
            ))
        )),
    """")
)*IF($F$23=""전진"", 1, 0)"),0.0)</f>
        <v>0</v>
      </c>
      <c r="X105" s="258">
        <f>IFERROR(__xludf.DUMMYFUNCTION("LET(
    target_regex, ""^5$|^5-3$|^1-2$|^2-2$|^4-3$"",
    IF(REGEXMATCH(TO_TEXT(X100), target_regex),
        IF(W100=""2-1"", 0.5,
        IF(REGEXMATCH(TO_TEXT(W100), target_regex), 0,
            IF(V100=""2-1"", 0.5,
            IF(REGEXMATCH(TO_TEX"&amp;"T(V100), target_regex), 0,
                IF(U100=""2-1"", 0.5,
                IF(REGEXMATCH(TO_TEXT(U100), target_regex), 0,
                    IF(T100=""2-1"", 0.5,
                    IF(REGEXMATCH(TO_TEXT(T100), target_regex), 0, """")
            "&amp;"        )
                ))
            ))
        )),
    """")
)*IF($F$23=""전진"", 1, 0)"),0.0)</f>
        <v>0</v>
      </c>
      <c r="Y105" s="258">
        <f>IFERROR(__xludf.DUMMYFUNCTION("LET(
    target_regex, ""^5$|^5-3$|^1-2$|^2-2$|^4-3$"",
    IF(REGEXMATCH(TO_TEXT(Y100), target_regex),
        IF(X100=""2-1"", 0.5,
        IF(REGEXMATCH(TO_TEXT(X100), target_regex), 0,
            IF(W100=""2-1"", 0.5,
            IF(REGEXMATCH(TO_TEX"&amp;"T(W100), target_regex), 0,
                IF(V100=""2-1"", 0.5,
                IF(REGEXMATCH(TO_TEXT(V100), target_regex), 0,
                    IF(U100=""2-1"", 0.5,
                    IF(REGEXMATCH(TO_TEXT(U100), target_regex), 0, """")
            "&amp;"        )
                ))
            ))
        )),
    """")
)*IF($F$23=""전진"", 1, 0)"),0.0)</f>
        <v>0</v>
      </c>
      <c r="Z105" s="258">
        <f>IFERROR(__xludf.DUMMYFUNCTION("LET(
    target_regex, ""^5$|^5-3$|^1-2$|^2-2$|^4-3$"",
    IF(REGEXMATCH(TO_TEXT(Z100), target_regex),
        IF(Y100=""2-1"", 0.5,
        IF(REGEXMATCH(TO_TEXT(Y100), target_regex), 0,
            IF(X100=""2-1"", 0.5,
            IF(REGEXMATCH(TO_TEX"&amp;"T(X100), target_regex), 0,
                IF(W100=""2-1"", 0.5,
                IF(REGEXMATCH(TO_TEXT(W100), target_regex), 0,
                    IF(V100=""2-1"", 0.5,
                    IF(REGEXMATCH(TO_TEXT(V100), target_regex), 0, """")
            "&amp;"        )
                ))
            ))
        )),
    """")
)*IF($F$23=""전진"", 1, 0)"),0.0)</f>
        <v>0</v>
      </c>
      <c r="AA105" s="258">
        <f>IFERROR(__xludf.DUMMYFUNCTION("LET(
    target_regex, ""^5$|^5-3$|^1-2$|^2-2$|^4-3$"",
    IF(REGEXMATCH(TO_TEXT(AA100), target_regex),
        IF(Z100=""2-1"", 0.5,
        IF(REGEXMATCH(TO_TEXT(Z100), target_regex), 0,
            IF(Y100=""2-1"", 0.5,
            IF(REGEXMATCH(TO_TE"&amp;"XT(Y100), target_regex), 0,
                IF(X100=""2-1"", 0.5,
                IF(REGEXMATCH(TO_TEXT(X100), target_regex), 0,
                    IF(W100=""2-1"", 0.5,
                    IF(REGEXMATCH(TO_TEXT(W100), target_regex), 0, """")
           "&amp;"         )
                ))
            ))
        )),
    """")
)*IF($F$23=""전진"", 1, 0)"),0.0)</f>
        <v>0</v>
      </c>
      <c r="AB105" s="258">
        <f>IFERROR(__xludf.DUMMYFUNCTION("LET(
    target_regex, ""^5$|^5-3$|^1-2$|^2-2$|^4-3$"",
    IF(REGEXMATCH(TO_TEXT(AB100), target_regex),
        IF(AA100=""2-1"", 0.5,
        IF(REGEXMATCH(TO_TEXT(AA100), target_regex), 0,
            IF(Z100=""2-1"", 0.5,
            IF(REGEXMATCH(TO_"&amp;"TEXT(Z100), target_regex), 0,
                IF(Y100=""2-1"", 0.5,
                IF(REGEXMATCH(TO_TEXT(Y100), target_regex), 0,
                    IF(X100=""2-1"", 0.5,
                    IF(REGEXMATCH(TO_TEXT(X100), target_regex), 0, """")
         "&amp;"           )
                ))
            ))
        )),
    """")
)*IF($F$23=""전진"", 1, 0)"),0.0)</f>
        <v>0</v>
      </c>
      <c r="AC105" s="258">
        <f>IFERROR(__xludf.DUMMYFUNCTION("LET(
    target_regex, ""^5$|^5-3$|^1-2$|^2-2$|^4-3$"",
    IF(REGEXMATCH(TO_TEXT(AC100), target_regex),
        IF(AB100=""2-1"", 0.5,
        IF(REGEXMATCH(TO_TEXT(AB100), target_regex), 0,
            IF(AA100=""2-1"", 0.5,
            IF(REGEXMATCH(TO"&amp;"_TEXT(AA100), target_regex), 0,
                IF(Z100=""2-1"", 0.5,
                IF(REGEXMATCH(TO_TEXT(Z100), target_regex), 0,
                    IF(Y100=""2-1"", 0.5,
                    IF(REGEXMATCH(TO_TEXT(Y100), target_regex), 0, """")
       "&amp;"             )
                ))
            ))
        )),
    """")
)*IF($F$23=""전진"", 1, 0)"),0.0)</f>
        <v>0</v>
      </c>
      <c r="AD105" s="258">
        <f>IFERROR(__xludf.DUMMYFUNCTION("LET(
    target_regex, ""^5$|^5-3$|^1-2$|^2-2$|^4-3$"",
    IF(REGEXMATCH(TO_TEXT(AD100), target_regex),
        IF(AC100=""2-1"", 0.5,
        IF(REGEXMATCH(TO_TEXT(AC100), target_regex), 0,
            IF(AB100=""2-1"", 0.5,
            IF(REGEXMATCH(TO"&amp;"_TEXT(AB100), target_regex), 0,
                IF(AA100=""2-1"", 0.5,
                IF(REGEXMATCH(TO_TEXT(AA100), target_regex), 0,
                    IF(Z100=""2-1"", 0.5,
                    IF(REGEXMATCH(TO_TEXT(Z100), target_regex), 0, """")
     "&amp;"               )
                ))
            ))
        )),
    """")
)*IF($F$23=""전진"", 1, 0)"),0.0)</f>
        <v>0</v>
      </c>
      <c r="AE105" s="258">
        <f>IFERROR(__xludf.DUMMYFUNCTION("LET(
    target_regex, ""^5$|^5-3$|^1-2$|^2-2$|^4-3$"",
    IF(REGEXMATCH(TO_TEXT(AE100), target_regex),
        IF(AD100=""2-1"", 0.5,
        IF(REGEXMATCH(TO_TEXT(AD100), target_regex), 0,
            IF(AC100=""2-1"", 0.5,
            IF(REGEXMATCH(TO"&amp;"_TEXT(AC100), target_regex), 0,
                IF(AB100=""2-1"", 0.5,
                IF(REGEXMATCH(TO_TEXT(AB100), target_regex), 0,
                    IF(AA100=""2-1"", 0.5,
                    IF(REGEXMATCH(TO_TEXT(AA100), target_regex), 0, """")
   "&amp;"                 )
                ))
            ))
        )),
    """")
)*IF($F$23=""전진"", 1, 0)"),0.0)</f>
        <v>0</v>
      </c>
      <c r="AF105" s="258">
        <f>IFERROR(__xludf.DUMMYFUNCTION("LET(
    target_regex, ""^5$|^5-3$|^1-2$|^2-2$|^4-3$"",
    IF(REGEXMATCH(TO_TEXT(AF100), target_regex),
        IF(AE100=""2-1"", 0.5,
        IF(REGEXMATCH(TO_TEXT(AE100), target_regex), 0,
            IF(AD100=""2-1"", 0.5,
            IF(REGEXMATCH(TO"&amp;"_TEXT(AD100), target_regex), 0,
                IF(AC100=""2-1"", 0.5,
                IF(REGEXMATCH(TO_TEXT(AC100), target_regex), 0,
                    IF(AB100=""2-1"", 0.5,
                    IF(REGEXMATCH(TO_TEXT(AB100), target_regex), 0, """")
   "&amp;"                 )
                ))
            ))
        )),
    """")
)*IF($F$23=""전진"", 1, 0)"),0.0)</f>
        <v>0</v>
      </c>
      <c r="AG105" s="258">
        <f>IFERROR(__xludf.DUMMYFUNCTION("LET(
    target_regex, ""^5$|^5-3$|^1-2$|^2-2$|^4-3$"",
    IF(REGEXMATCH(TO_TEXT(AG100), target_regex),
        IF(AF100=""2-1"", 0.5,
        IF(REGEXMATCH(TO_TEXT(AF100), target_regex), 0,
            IF(AE100=""2-1"", 0.5,
            IF(REGEXMATCH(TO"&amp;"_TEXT(AE100), target_regex), 0,
                IF(AD100=""2-1"", 0.5,
                IF(REGEXMATCH(TO_TEXT(AD100), target_regex), 0,
                    IF(AC100=""2-1"", 0.5,
                    IF(REGEXMATCH(TO_TEXT(AC100), target_regex), 0, """")
   "&amp;"                 )
                ))
            ))
        )),
    """")
)*IF($F$23=""전진"", 1, 0)"),0.0)</f>
        <v>0</v>
      </c>
      <c r="AH105" s="258">
        <f>IFERROR(__xludf.DUMMYFUNCTION("LET(
    target_regex, ""^5$|^5-3$|^1-2$|^2-2$|^4-3$"",
    IF(REGEXMATCH(TO_TEXT(AH100), target_regex),
        IF(AG100=""2-1"", 0.5,
        IF(REGEXMATCH(TO_TEXT(AG100), target_regex), 0,
            IF(AF100=""2-1"", 0.5,
            IF(REGEXMATCH(TO"&amp;"_TEXT(AF100), target_regex), 0,
                IF(AE100=""2-1"", 0.5,
                IF(REGEXMATCH(TO_TEXT(AE100), target_regex), 0,
                    IF(AD100=""2-1"", 0.5,
                    IF(REGEXMATCH(TO_TEXT(AD100), target_regex), 0, """")
   "&amp;"                 )
                ))
            ))
        )),
    """")
)*IF($F$23=""전진"", 1, 0)"),0.0)</f>
        <v>0</v>
      </c>
      <c r="AI105" s="62"/>
      <c r="AJ105" s="62"/>
      <c r="AK105" s="62" t="s">
        <v>473</v>
      </c>
    </row>
    <row r="106">
      <c r="A106" s="1"/>
      <c r="B106" s="1"/>
      <c r="C106" s="151" t="str">
        <f t="shared" ref="C106:AH106" si="43">IF(AND(B100="3", C100&lt;&gt;"3"), 0.5, "")</f>
        <v/>
      </c>
      <c r="D106" s="1" t="str">
        <f t="shared" si="43"/>
        <v/>
      </c>
      <c r="E106" s="1" t="str">
        <f t="shared" si="43"/>
        <v/>
      </c>
      <c r="F106" s="1" t="str">
        <f t="shared" si="43"/>
        <v/>
      </c>
      <c r="G106" s="151" t="str">
        <f t="shared" si="43"/>
        <v/>
      </c>
      <c r="H106" s="1" t="str">
        <f t="shared" si="43"/>
        <v/>
      </c>
      <c r="I106" s="1" t="str">
        <f t="shared" si="43"/>
        <v/>
      </c>
      <c r="J106" s="1" t="str">
        <f t="shared" si="43"/>
        <v/>
      </c>
      <c r="K106" s="151" t="str">
        <f t="shared" si="43"/>
        <v/>
      </c>
      <c r="L106" s="62" t="str">
        <f t="shared" si="43"/>
        <v/>
      </c>
      <c r="M106" s="1" t="str">
        <f t="shared" si="43"/>
        <v/>
      </c>
      <c r="N106" s="1" t="str">
        <f t="shared" si="43"/>
        <v/>
      </c>
      <c r="O106" s="151" t="str">
        <f t="shared" si="43"/>
        <v/>
      </c>
      <c r="P106" s="1" t="str">
        <f t="shared" si="43"/>
        <v/>
      </c>
      <c r="Q106" s="62" t="str">
        <f t="shared" si="43"/>
        <v/>
      </c>
      <c r="R106" s="62" t="str">
        <f t="shared" si="43"/>
        <v/>
      </c>
      <c r="S106" s="62" t="str">
        <f t="shared" si="43"/>
        <v/>
      </c>
      <c r="T106" s="62" t="str">
        <f t="shared" si="43"/>
        <v/>
      </c>
      <c r="U106" s="62" t="str">
        <f t="shared" si="43"/>
        <v/>
      </c>
      <c r="V106" s="62" t="str">
        <f t="shared" si="43"/>
        <v/>
      </c>
      <c r="W106" s="62" t="str">
        <f t="shared" si="43"/>
        <v/>
      </c>
      <c r="X106" s="62" t="str">
        <f t="shared" si="43"/>
        <v/>
      </c>
      <c r="Y106" s="62" t="str">
        <f t="shared" si="43"/>
        <v/>
      </c>
      <c r="Z106" s="62" t="str">
        <f t="shared" si="43"/>
        <v/>
      </c>
      <c r="AA106" s="62" t="str">
        <f t="shared" si="43"/>
        <v/>
      </c>
      <c r="AB106" s="62" t="str">
        <f t="shared" si="43"/>
        <v/>
      </c>
      <c r="AC106" s="62" t="str">
        <f t="shared" si="43"/>
        <v/>
      </c>
      <c r="AD106" s="62" t="str">
        <f t="shared" si="43"/>
        <v/>
      </c>
      <c r="AE106" s="62" t="str">
        <f t="shared" si="43"/>
        <v/>
      </c>
      <c r="AF106" s="62" t="str">
        <f t="shared" si="43"/>
        <v/>
      </c>
      <c r="AG106" s="62" t="str">
        <f t="shared" si="43"/>
        <v/>
      </c>
      <c r="AH106" s="62" t="str">
        <f t="shared" si="43"/>
        <v/>
      </c>
      <c r="AI106" s="62"/>
      <c r="AJ106" s="62"/>
      <c r="AK106" s="62" t="s">
        <v>474</v>
      </c>
    </row>
    <row r="107">
      <c r="A107" s="1"/>
      <c r="B107" s="1"/>
      <c r="C107" s="257">
        <f>'종합'!$K$9</f>
        <v>0.3959952941</v>
      </c>
      <c r="D107" s="257">
        <f>'종합'!$K$9</f>
        <v>0.3959952941</v>
      </c>
      <c r="E107" s="257">
        <f>'종합'!$K$9</f>
        <v>0.3959952941</v>
      </c>
      <c r="F107" s="257">
        <f>'종합'!$K$9</f>
        <v>0.3959952941</v>
      </c>
      <c r="G107" s="257">
        <f>'종합'!$K$9</f>
        <v>0.3959952941</v>
      </c>
      <c r="H107" s="257">
        <f>'종합'!$K$9</f>
        <v>0.3959952941</v>
      </c>
      <c r="I107" s="257">
        <f>'종합'!$K$9</f>
        <v>0.3959952941</v>
      </c>
      <c r="J107" s="257">
        <f>'종합'!$K$9</f>
        <v>0.3959952941</v>
      </c>
      <c r="K107" s="257">
        <f>'종합'!$K$9</f>
        <v>0.3959952941</v>
      </c>
      <c r="L107" s="257">
        <f>'종합'!$K$9</f>
        <v>0.3959952941</v>
      </c>
      <c r="M107" s="257">
        <f>'종합'!$K$9</f>
        <v>0.3959952941</v>
      </c>
      <c r="N107" s="257">
        <f>'종합'!$K$9</f>
        <v>0.3959952941</v>
      </c>
      <c r="O107" s="257">
        <f>'종합'!$K$9</f>
        <v>0.3959952941</v>
      </c>
      <c r="P107" s="257">
        <f>'종합'!$K$9</f>
        <v>0.3959952941</v>
      </c>
      <c r="Q107" s="257">
        <f>'종합'!$K$9</f>
        <v>0.3959952941</v>
      </c>
      <c r="R107" s="257">
        <f>'종합'!$K$9</f>
        <v>0.3959952941</v>
      </c>
      <c r="S107" s="257">
        <f>'종합'!$K$9</f>
        <v>0.3959952941</v>
      </c>
      <c r="T107" s="257">
        <f>'종합'!$K$9</f>
        <v>0.3959952941</v>
      </c>
      <c r="U107" s="257">
        <f>'종합'!$K$9</f>
        <v>0.3959952941</v>
      </c>
      <c r="V107" s="257">
        <f>'종합'!$K$9</f>
        <v>0.3959952941</v>
      </c>
      <c r="W107" s="257">
        <f>'종합'!$K$9</f>
        <v>0.3959952941</v>
      </c>
      <c r="X107" s="257">
        <f>'종합'!$K$9</f>
        <v>0.3959952941</v>
      </c>
      <c r="Y107" s="257">
        <f>'종합'!$K$9</f>
        <v>0.3959952941</v>
      </c>
      <c r="Z107" s="257">
        <f>'종합'!$K$9</f>
        <v>0.3959952941</v>
      </c>
      <c r="AA107" s="257">
        <f>'종합'!$K$9</f>
        <v>0.3959952941</v>
      </c>
      <c r="AB107" s="257">
        <f>'종합'!$K$9</f>
        <v>0.3959952941</v>
      </c>
      <c r="AC107" s="257">
        <f>'종합'!$K$9</f>
        <v>0.3959952941</v>
      </c>
      <c r="AD107" s="257">
        <f>'종합'!$K$9</f>
        <v>0.3959952941</v>
      </c>
      <c r="AE107" s="257">
        <f>'종합'!$K$9</f>
        <v>0.3959952941</v>
      </c>
      <c r="AF107" s="257">
        <f>'종합'!$K$9</f>
        <v>0.3959952941</v>
      </c>
      <c r="AG107" s="257">
        <f>'종합'!$K$9</f>
        <v>0.3959952941</v>
      </c>
      <c r="AH107" s="257">
        <f>'종합'!$K$9</f>
        <v>0.3959952941</v>
      </c>
      <c r="AI107" s="62"/>
      <c r="AJ107" s="62"/>
      <c r="AK107" s="62" t="s">
        <v>235</v>
      </c>
    </row>
    <row r="108">
      <c r="A108" s="1"/>
      <c r="B108" s="1"/>
      <c r="C108" s="257">
        <f>IF($B$23="약점", '종합'!$K$10, '종합'!$K$10*IF(C100="1-1",$AA$3,1))</f>
        <v>0.6300863529</v>
      </c>
      <c r="D108" s="257">
        <f>IF($B$23="약점", '종합'!$K$10, '종합'!$K$10*IF(D100="1-1",$AA$3,1))</f>
        <v>0.6300863529</v>
      </c>
      <c r="E108" s="257">
        <f>IF($B$23="약점", '종합'!$K$10, '종합'!$K$10*IF(E100="1-1",$AA$3,1))</f>
        <v>0.6300863529</v>
      </c>
      <c r="F108" s="257">
        <f>IF($B$23="약점", '종합'!$K$10, '종합'!$K$10*IF(F100="1-1",$AA$3,1))</f>
        <v>0.6300863529</v>
      </c>
      <c r="G108" s="257">
        <f>IF($B$23="약점", '종합'!$K$10, '종합'!$K$10*IF(G100="1-1",$AA$3,1))</f>
        <v>0.6300863529</v>
      </c>
      <c r="H108" s="257">
        <f>IF($B$23="약점", '종합'!$K$10, '종합'!$K$10*IF(H100="1-1",$AA$3,1))</f>
        <v>0.6300863529</v>
      </c>
      <c r="I108" s="257">
        <f>IF($B$23="약점", '종합'!$K$10, '종합'!$K$10*IF(I100="1-1",$AA$3,1))</f>
        <v>0.6300863529</v>
      </c>
      <c r="J108" s="257">
        <f>IF($B$23="약점", '종합'!$K$10, '종합'!$K$10*IF(J100="1-1",$AA$3,1))</f>
        <v>0.6300863529</v>
      </c>
      <c r="K108" s="257">
        <f>IF($B$23="약점", '종합'!$K$10, '종합'!$K$10*IF(K100="1-1",$AA$3,1))</f>
        <v>0.6300863529</v>
      </c>
      <c r="L108" s="257">
        <f>IF($B$23="약점", '종합'!$K$10, '종합'!$K$10*IF(L100="1-1",$AA$3,1))</f>
        <v>0.6300863529</v>
      </c>
      <c r="M108" s="257">
        <f>IF($B$23="약점", '종합'!$K$10, '종합'!$K$10*IF(M100="1-1",$AA$3,1))</f>
        <v>0.6300863529</v>
      </c>
      <c r="N108" s="257">
        <f>IF($B$23="약점", '종합'!$K$10, '종합'!$K$10*IF(N100="1-1",$AA$3,1))</f>
        <v>0.6300863529</v>
      </c>
      <c r="O108" s="257">
        <f>IF($B$23="약점", '종합'!$K$10, '종합'!$K$10*IF(O100="1-1",$AA$3,1))</f>
        <v>0.6300863529</v>
      </c>
      <c r="P108" s="257">
        <f>IF($B$23="약점", '종합'!$K$10, '종합'!$K$10*IF(P100="1-1",$AA$3,1))</f>
        <v>0.6300863529</v>
      </c>
      <c r="Q108" s="257">
        <f>IF($B$23="약점", '종합'!$K$10, '종합'!$K$10*IF(Q100="1-1",$AA$3,1))</f>
        <v>0.6300863529</v>
      </c>
      <c r="R108" s="257">
        <f>IF($B$23="약점", '종합'!$K$10, '종합'!$K$10*IF(R100="1-1",$AA$3,1))</f>
        <v>0.6300863529</v>
      </c>
      <c r="S108" s="257">
        <f>IF($B$23="약점", '종합'!$K$10, '종합'!$K$10*IF(S100="1-1",$AA$3,1))</f>
        <v>0.6300863529</v>
      </c>
      <c r="T108" s="257">
        <f>IF($B$23="약점", '종합'!$K$10, '종합'!$K$10*IF(T100="1-1",$AA$3,1))</f>
        <v>0.6300863529</v>
      </c>
      <c r="U108" s="257">
        <f>IF($B$23="약점", '종합'!$K$10, '종합'!$K$10*IF(U100="1-1",$AA$3,1))</f>
        <v>0.6300863529</v>
      </c>
      <c r="V108" s="257">
        <f>IF($B$23="약점", '종합'!$K$10, '종합'!$K$10*IF(V100="1-1",$AA$3,1))</f>
        <v>0.6300863529</v>
      </c>
      <c r="W108" s="257">
        <f>IF($B$23="약점", '종합'!$K$10, '종합'!$K$10*IF(W100="1-1",$AA$3,1))</f>
        <v>0.6300863529</v>
      </c>
      <c r="X108" s="257">
        <f>IF($B$23="약점", '종합'!$K$10, '종합'!$K$10*IF(X100="1-1",$AA$3,1))</f>
        <v>0.6300863529</v>
      </c>
      <c r="Y108" s="257">
        <f>IF($B$23="약점", '종합'!$K$10, '종합'!$K$10*IF(Y100="1-1",$AA$3,1))</f>
        <v>0.6300863529</v>
      </c>
      <c r="Z108" s="257">
        <f>IF($B$23="약점", '종합'!$K$10, '종합'!$K$10*IF(Z100="1-1",$AA$3,1))</f>
        <v>0.6300863529</v>
      </c>
      <c r="AA108" s="257">
        <f>IF($B$23="약점", '종합'!$K$10, '종합'!$K$10*IF(AA100="1-1",$AA$3,1))</f>
        <v>0.6300863529</v>
      </c>
      <c r="AB108" s="257">
        <f>IF($B$23="약점", '종합'!$K$10, '종합'!$K$10*IF(AB100="1-1",$AA$3,1))</f>
        <v>0.6300863529</v>
      </c>
      <c r="AC108" s="257">
        <f>IF($B$23="약점", '종합'!$K$10, '종합'!$K$10*IF(AC100="1-1",$AA$3,1))</f>
        <v>0.6300863529</v>
      </c>
      <c r="AD108" s="257">
        <f>IF($B$23="약점", '종합'!$K$10, '종합'!$K$10*IF(AD100="1-1",$AA$3,1))</f>
        <v>0.6300863529</v>
      </c>
      <c r="AE108" s="257">
        <f>IF($B$23="약점", '종합'!$K$10, '종합'!$K$10*IF(AE100="1-1",$AA$3,1))</f>
        <v>0.6300863529</v>
      </c>
      <c r="AF108" s="257">
        <f>IF($B$23="약점", '종합'!$K$10, '종합'!$K$10*IF(AF100="1-1",$AA$3,1))</f>
        <v>0.6300863529</v>
      </c>
      <c r="AG108" s="257">
        <f>IF($B$23="약점", '종합'!$K$10, '종합'!$K$10*IF(AG100="1-1",$AA$3,1))</f>
        <v>0.6300863529</v>
      </c>
      <c r="AH108" s="257">
        <f>IF($B$23="약점", '종합'!$K$10, '종합'!$K$10*IF(AH100="1-1",$AA$3,1))</f>
        <v>0.6300863529</v>
      </c>
      <c r="AI108" s="62"/>
      <c r="AJ108" s="62"/>
      <c r="AK108" s="62" t="s">
        <v>236</v>
      </c>
    </row>
    <row r="109">
      <c r="A109" s="1"/>
      <c r="B109" s="1"/>
      <c r="C109" s="254">
        <f t="array" ref="C109">OFFSET(INDEX($24:$24, MATCH(C100, $24:$24, 0)), 2, 0)*(1-('종합'!$K$21+if('방어구룬'!$B$20=true,0.24,0)))</f>
        <v>1.164592</v>
      </c>
      <c r="D109" s="254">
        <f t="array" ref="D109">OFFSET(INDEX($24:$24, MATCH(D100, $24:$24, 0)), 2, 0)*(1-('종합'!$K$21+if('방어구룬'!$B$20=true,0.24,0)))</f>
        <v>0.89584</v>
      </c>
      <c r="E109" s="254">
        <f t="array" ref="E109">OFFSET(INDEX($24:$24, MATCH(E100, $24:$24, 0)), 2, 0)*(1-('종합'!$K$21+if('방어구룬'!$B$20=true,0.24,0)))</f>
        <v>1.254176</v>
      </c>
      <c r="F109" s="254">
        <f t="array" ref="F109">OFFSET(INDEX($24:$24, MATCH(F100, $24:$24, 0)), 2, 0)*(1-('종합'!$K$21+if('방어구룬'!$B$20=true,0.24,0)))</f>
        <v>1.164592</v>
      </c>
      <c r="G109" s="254">
        <f t="array" ref="G109">OFFSET(INDEX($24:$24, MATCH(G100, $24:$24, 0)), 2, 0)*(1-('종합'!$K$21+if('방어구룬'!$B$20=true,0.24,0)))</f>
        <v>0</v>
      </c>
      <c r="H109" s="254">
        <f t="array" ref="H109">OFFSET(INDEX($24:$24, MATCH(H100, $24:$24, 0)), 2, 0)*(1-('종합'!$K$21+if('방어구룬'!$B$20=true,0.24,0)))</f>
        <v>0</v>
      </c>
      <c r="I109" s="254">
        <f t="array" ref="I109">OFFSET(INDEX($24:$24, MATCH(I100, $24:$24, 0)), 2, 0)*(1-('종합'!$K$21+if('방어구룬'!$B$20=true,0.24,0)))</f>
        <v>0</v>
      </c>
      <c r="J109" s="254">
        <f t="array" ref="J109">OFFSET(INDEX($24:$24, MATCH(J100, $24:$24, 0)), 2, 0)*(1-('종합'!$K$21+if('방어구룬'!$B$20=true,0.24,0)))</f>
        <v>0</v>
      </c>
      <c r="K109" s="254">
        <f t="array" ref="K109">OFFSET(INDEX($24:$24, MATCH(K100, $24:$24, 0)), 2, 0)*(1-('종합'!$K$21+if('방어구룬'!$B$20=true,0.24,0)))</f>
        <v>0</v>
      </c>
      <c r="L109" s="254">
        <f t="array" ref="L109">OFFSET(INDEX($24:$24, MATCH(L100, $24:$24, 0)), 2, 0)*(1-('종합'!$K$21+if('방어구룬'!$B$20=true,0.24,0)))</f>
        <v>0</v>
      </c>
      <c r="M109" s="254">
        <f t="array" ref="M109">OFFSET(INDEX($24:$24, MATCH(M100, $24:$24, 0)), 2, 0)*(1-('종합'!$K$21+if('방어구룬'!$B$20=true,0.24,0)))</f>
        <v>0</v>
      </c>
      <c r="N109" s="254">
        <f t="array" ref="N109">OFFSET(INDEX($24:$24, MATCH(N100, $24:$24, 0)), 2, 0)*(1-('종합'!$K$21+if('방어구룬'!$B$20=true,0.24,0)))</f>
        <v>0</v>
      </c>
      <c r="O109" s="254">
        <f t="array" ref="O109">OFFSET(INDEX($24:$24, MATCH(O100, $24:$24, 0)), 2, 0)*(1-('종합'!$K$21+if('방어구룬'!$B$20=true,0.24,0)))</f>
        <v>0</v>
      </c>
      <c r="P109" s="254">
        <f t="array" ref="P109">OFFSET(INDEX($24:$24, MATCH(P100, $24:$24, 0)), 2, 0)*(1-('종합'!$K$21+if('방어구룬'!$B$20=true,0.24,0)))</f>
        <v>0</v>
      </c>
      <c r="Q109" s="254">
        <f t="array" ref="Q109">OFFSET(INDEX($24:$24, MATCH(Q100, $24:$24, 0)), 2, 0)*(1-('종합'!$K$21+if('방어구룬'!$B$20=true,0.24,0)))</f>
        <v>0</v>
      </c>
      <c r="R109" s="254">
        <f t="array" ref="R109">OFFSET(INDEX($24:$24, MATCH(R100, $24:$24, 0)), 2, 0)*(1-('종합'!$K$21+if('방어구룬'!$B$20=true,0.24,0)))</f>
        <v>0</v>
      </c>
      <c r="S109" s="254">
        <f t="array" ref="S109">OFFSET(INDEX($24:$24, MATCH(S100, $24:$24, 0)), 2, 0)*(1-('종합'!$K$21+if('방어구룬'!$B$20=true,0.24,0)))</f>
        <v>0</v>
      </c>
      <c r="T109" s="254">
        <f t="array" ref="T109">OFFSET(INDEX($24:$24, MATCH(T100, $24:$24, 0)), 2, 0)*(1-('종합'!$K$21+if('방어구룬'!$B$20=true,0.24,0)))</f>
        <v>0</v>
      </c>
      <c r="U109" s="254">
        <f t="array" ref="U109">OFFSET(INDEX($24:$24, MATCH(U100, $24:$24, 0)), 2, 0)*(1-('종합'!$K$21+if('방어구룬'!$B$20=true,0.24,0)))</f>
        <v>0</v>
      </c>
      <c r="V109" s="254">
        <f t="array" ref="V109">OFFSET(INDEX($24:$24, MATCH(V100, $24:$24, 0)), 2, 0)*(1-('종합'!$K$21+if('방어구룬'!$B$20=true,0.24,0)))</f>
        <v>0</v>
      </c>
      <c r="W109" s="254">
        <f t="array" ref="W109">OFFSET(INDEX($24:$24, MATCH(W100, $24:$24, 0)), 2, 0)*(1-('종합'!$K$21+if('방어구룬'!$B$20=true,0.24,0)))</f>
        <v>0</v>
      </c>
      <c r="X109" s="254">
        <f t="array" ref="X109">OFFSET(INDEX($24:$24, MATCH(X100, $24:$24, 0)), 2, 0)*(1-('종합'!$K$21+if('방어구룬'!$B$20=true,0.24,0)))</f>
        <v>0</v>
      </c>
      <c r="Y109" s="254">
        <f t="array" ref="Y109">OFFSET(INDEX($24:$24, MATCH(Y100, $24:$24, 0)), 2, 0)*(1-('종합'!$K$21+if('방어구룬'!$B$20=true,0.24,0)))</f>
        <v>0</v>
      </c>
      <c r="Z109" s="254">
        <f t="array" ref="Z109">OFFSET(INDEX($24:$24, MATCH(Z100, $24:$24, 0)), 2, 0)*(1-('종합'!$K$21+if('방어구룬'!$B$20=true,0.24,0)))</f>
        <v>0</v>
      </c>
      <c r="AA109" s="254">
        <f t="array" ref="AA109">OFFSET(INDEX($24:$24, MATCH(AA100, $24:$24, 0)), 2, 0)*(1-('종합'!$K$21+if('방어구룬'!$B$20=true,0.24,0)))</f>
        <v>0</v>
      </c>
      <c r="AB109" s="254">
        <f t="array" ref="AB109">OFFSET(INDEX($24:$24, MATCH(AB100, $24:$24, 0)), 2, 0)*(1-('종합'!$K$21+if('방어구룬'!$B$20=true,0.24,0)))</f>
        <v>0</v>
      </c>
      <c r="AC109" s="254">
        <f t="array" ref="AC109">OFFSET(INDEX($24:$24, MATCH(AC100, $24:$24, 0)), 2, 0)*(1-('종합'!$K$21+if('방어구룬'!$B$20=true,0.24,0)))</f>
        <v>0</v>
      </c>
      <c r="AD109" s="254">
        <f t="array" ref="AD109">OFFSET(INDEX($24:$24, MATCH(AD100, $24:$24, 0)), 2, 0)*(1-('종합'!$K$21+if('방어구룬'!$B$20=true,0.24,0)))</f>
        <v>0</v>
      </c>
      <c r="AE109" s="254">
        <f t="array" ref="AE109">OFFSET(INDEX($24:$24, MATCH(AE100, $24:$24, 0)), 2, 0)*(1-('종합'!$K$21+if('방어구룬'!$B$20=true,0.24,0)))</f>
        <v>0</v>
      </c>
      <c r="AF109" s="254">
        <f t="array" ref="AF109">OFFSET(INDEX($24:$24, MATCH(AF100, $24:$24, 0)), 2, 0)*(1-('종합'!$K$21+if('방어구룬'!$B$20=true,0.24,0)))</f>
        <v>0</v>
      </c>
      <c r="AG109" s="254">
        <f t="array" ref="AG109">OFFSET(INDEX($24:$24, MATCH(AG100, $24:$24, 0)), 2, 0)*(1-('종합'!$K$21+if('방어구룬'!$B$20=true,0.24,0)))</f>
        <v>0</v>
      </c>
      <c r="AH109" s="254">
        <f t="array" ref="AH109">OFFSET(INDEX($24:$24, MATCH(AH100, $24:$24, 0)), 2, 0)*(1-('종합'!$K$21+if('방어구룬'!$B$20=true,0.24,0)))</f>
        <v>0</v>
      </c>
      <c r="AI109" s="62"/>
      <c r="AJ109" s="258">
        <f>SUM(OFFSET(A109, 0, C98, 1, C98))</f>
        <v>3.314608</v>
      </c>
      <c r="AK109" s="62" t="s">
        <v>475</v>
      </c>
    </row>
    <row r="110">
      <c r="A110" s="1"/>
      <c r="B110" s="1"/>
      <c r="C110" s="151" t="str">
        <f t="shared" ref="C110:AH110" si="44">OFFSET(INDEX($24:$24, MATCH(C100, $24:$24, 0)), 4, 1)</f>
        <v/>
      </c>
      <c r="D110" s="1">
        <f t="shared" si="44"/>
        <v>13.006</v>
      </c>
      <c r="E110" s="151">
        <f t="shared" si="44"/>
        <v>12.6344</v>
      </c>
      <c r="F110" s="151" t="str">
        <f t="shared" si="44"/>
        <v/>
      </c>
      <c r="G110" s="151" t="str">
        <f t="shared" si="44"/>
        <v/>
      </c>
      <c r="H110" s="1" t="str">
        <f t="shared" si="44"/>
        <v/>
      </c>
      <c r="I110" s="151" t="str">
        <f t="shared" si="44"/>
        <v/>
      </c>
      <c r="J110" s="151" t="str">
        <f t="shared" si="44"/>
        <v/>
      </c>
      <c r="K110" s="151" t="str">
        <f t="shared" si="44"/>
        <v/>
      </c>
      <c r="L110" s="62" t="str">
        <f t="shared" si="44"/>
        <v/>
      </c>
      <c r="M110" s="151" t="str">
        <f t="shared" si="44"/>
        <v/>
      </c>
      <c r="N110" s="151" t="str">
        <f t="shared" si="44"/>
        <v/>
      </c>
      <c r="O110" s="151" t="str">
        <f t="shared" si="44"/>
        <v/>
      </c>
      <c r="P110" s="1" t="str">
        <f t="shared" si="44"/>
        <v/>
      </c>
      <c r="Q110" s="62" t="str">
        <f t="shared" si="44"/>
        <v/>
      </c>
      <c r="R110" s="62" t="str">
        <f t="shared" si="44"/>
        <v/>
      </c>
      <c r="S110" s="62" t="str">
        <f t="shared" si="44"/>
        <v/>
      </c>
      <c r="T110" s="62" t="str">
        <f t="shared" si="44"/>
        <v/>
      </c>
      <c r="U110" s="62" t="str">
        <f t="shared" si="44"/>
        <v/>
      </c>
      <c r="V110" s="62" t="str">
        <f t="shared" si="44"/>
        <v/>
      </c>
      <c r="W110" s="62" t="str">
        <f t="shared" si="44"/>
        <v/>
      </c>
      <c r="X110" s="62" t="str">
        <f t="shared" si="44"/>
        <v/>
      </c>
      <c r="Y110" s="62" t="str">
        <f t="shared" si="44"/>
        <v/>
      </c>
      <c r="Z110" s="62" t="str">
        <f t="shared" si="44"/>
        <v/>
      </c>
      <c r="AA110" s="62" t="str">
        <f t="shared" si="44"/>
        <v/>
      </c>
      <c r="AB110" s="62" t="str">
        <f t="shared" si="44"/>
        <v/>
      </c>
      <c r="AC110" s="62" t="str">
        <f t="shared" si="44"/>
        <v/>
      </c>
      <c r="AD110" s="62" t="str">
        <f t="shared" si="44"/>
        <v/>
      </c>
      <c r="AE110" s="62" t="str">
        <f t="shared" si="44"/>
        <v/>
      </c>
      <c r="AF110" s="62" t="str">
        <f t="shared" si="44"/>
        <v/>
      </c>
      <c r="AG110" s="62" t="str">
        <f t="shared" si="44"/>
        <v/>
      </c>
      <c r="AH110" s="62" t="str">
        <f t="shared" si="44"/>
        <v/>
      </c>
      <c r="AI110" s="62"/>
      <c r="AJ110" s="258">
        <f>max(OFFSET(A110, 0, C98, 1, C98))*0.2-IF('방어구룬'!B$52=TRUE, 2.1*C32/'방어구룬'!$C$52, 0)</f>
        <v>2.6012</v>
      </c>
      <c r="AK110" s="62" t="s">
        <v>458</v>
      </c>
    </row>
    <row r="111">
      <c r="A111" s="1" t="s">
        <v>476</v>
      </c>
      <c r="B111" s="1"/>
      <c r="C111" s="257">
        <f>(sum(C104:C106)+'종합'!$K$7+'종합'!$K$15+'종합'!$C$8/100+IF(AND('방어구룬'!$B$39=TRUE, OR(C100="2-1", C100="4-1", C100="4-3")), 0.24, "")+IF(AND('엠블럼룬'!$B$8=TRUE, $B$23&lt;&gt;"약점", C100="1-1"), 0.14, ""))</f>
        <v>0.4055294118</v>
      </c>
      <c r="D111" s="257">
        <f>(sum(D104:D106)+'종합'!$K$7+'종합'!$K$15+'종합'!$C$8/100+IF(AND('방어구룬'!$B$39=TRUE, OR(D100="2-1", D100="4-1", D100="4-3")), 0.24, "")+IF(AND('엠블럼룬'!$B$8=TRUE, $B$23&lt;&gt;"약점", D100="1-1"), 0.14, ""))</f>
        <v>0.4055294118</v>
      </c>
      <c r="E111" s="257">
        <f>(sum(E104:E106)+'종합'!$K$7+'종합'!$K$15+'종합'!$C$8/100+IF(AND('방어구룬'!$B$39=TRUE, OR(E100="2-1", E100="4-1", E100="4-3")), 0.24, "")+IF(AND('엠블럼룬'!$B$8=TRUE, $B$23&lt;&gt;"약점", E100="1-1"), 0.14, ""))</f>
        <v>0.9055294118</v>
      </c>
      <c r="F111" s="257">
        <f>(sum(F104:F106)+'종합'!$K$7+'종합'!$K$15+'종합'!$C$8/100+IF(AND('방어구룬'!$B$39=TRUE, OR(F100="2-1", F100="4-1", F100="4-3")), 0.24, "")+IF(AND('엠블럼룬'!$B$8=TRUE, $B$23&lt;&gt;"약점", F100="1-1"), 0.14, ""))</f>
        <v>0.4055294118</v>
      </c>
      <c r="G111" s="257">
        <f>(sum(G104:G106)+'종합'!$K$7+'종합'!$K$15+'종합'!$C$8/100+IF(AND('방어구룬'!$B$39=TRUE, OR(G100="2-1", G100="4-1", G100="4-3")), 0.24, "")+IF(AND('엠블럼룬'!$B$8=TRUE, $B$23&lt;&gt;"약점", G100="1-1"), 0.14, ""))</f>
        <v>0.4055294118</v>
      </c>
      <c r="H111" s="257">
        <f>(sum(H104:H106)+'종합'!$K$7+'종합'!$K$15+'종합'!$C$8/100+IF(AND('방어구룬'!$B$39=TRUE, OR(H100="2-1", H100="4-1", H100="4-3")), 0.24, "")+IF(AND('엠블럼룬'!$B$8=TRUE, $B$23&lt;&gt;"약점", H100="1-1"), 0.14, ""))</f>
        <v>0.4055294118</v>
      </c>
      <c r="I111" s="257">
        <f>(sum(I104:I106)+'종합'!$K$7+'종합'!$K$15+'종합'!$C$8/100+IF(AND('방어구룬'!$B$39=TRUE, OR(I100="2-1", I100="4-1", I100="4-3")), 0.24, "")+IF(AND('엠블럼룬'!$B$8=TRUE, $B$23&lt;&gt;"약점", I100="1-1"), 0.14, ""))</f>
        <v>0.4055294118</v>
      </c>
      <c r="J111" s="257">
        <f>(sum(J104:J106)+'종합'!$K$7+'종합'!$K$15+'종합'!$C$8/100+IF(AND('방어구룬'!$B$39=TRUE, OR(J100="2-1", J100="4-1", J100="4-3")), 0.24, "")+IF(AND('엠블럼룬'!$B$8=TRUE, $B$23&lt;&gt;"약점", J100="1-1"), 0.14, ""))</f>
        <v>0.4055294118</v>
      </c>
      <c r="K111" s="257">
        <f>(sum(K104:K106)+'종합'!$K$7+'종합'!$K$15+'종합'!$C$8/100+IF(AND('방어구룬'!$B$39=TRUE, OR(K100="2-1", K100="4-1", K100="4-3")), 0.24, "")+IF(AND('엠블럼룬'!$B$8=TRUE, $B$23&lt;&gt;"약점", K100="1-1"), 0.14, ""))</f>
        <v>0.4055294118</v>
      </c>
      <c r="L111" s="257">
        <f>(sum(L104:L106)+'종합'!$K$7+'종합'!$K$15+'종합'!$C$8/100+IF(AND('방어구룬'!$B$39=TRUE, OR(L100="2-1", L100="4-1", L100="4-3")), 0.24, "")+IF(AND('엠블럼룬'!$B$8=TRUE, $B$23&lt;&gt;"약점", L100="1-1"), 0.14, ""))</f>
        <v>0.4055294118</v>
      </c>
      <c r="M111" s="257">
        <f>(sum(M104:M106)+'종합'!$K$7+'종합'!$K$15+'종합'!$C$8/100+IF(AND('방어구룬'!$B$39=TRUE, OR(M100="2-1", M100="4-1", M100="4-3")), 0.24, "")+IF(AND('엠블럼룬'!$B$8=TRUE, $B$23&lt;&gt;"약점", M100="1-1"), 0.14, ""))</f>
        <v>0.4055294118</v>
      </c>
      <c r="N111" s="257">
        <f>(sum(N104:N106)+'종합'!$K$7+'종합'!$K$15+'종합'!$C$8/100+IF(AND('방어구룬'!$B$39=TRUE, OR(N100="2-1", N100="4-1", N100="4-3")), 0.24, "")+IF(AND('엠블럼룬'!$B$8=TRUE, $B$23&lt;&gt;"약점", N100="1-1"), 0.14, ""))</f>
        <v>0.4055294118</v>
      </c>
      <c r="O111" s="257">
        <f>(sum(O104:O106)+'종합'!$K$7+'종합'!$K$15+'종합'!$C$8/100+IF(AND('방어구룬'!$B$39=TRUE, OR(O100="2-1", O100="4-1", O100="4-3")), 0.24, "")+IF(AND('엠블럼룬'!$B$8=TRUE, $B$23&lt;&gt;"약점", O100="1-1"), 0.14, ""))</f>
        <v>0.4055294118</v>
      </c>
      <c r="P111" s="257">
        <f>(sum(P104:P106)+'종합'!$K$7+'종합'!$K$15+'종합'!$C$8/100+IF(AND('방어구룬'!$B$39=TRUE, OR(P100="2-1", P100="4-1", P100="4-3")), 0.24, "")+IF(AND('엠블럼룬'!$B$8=TRUE, $B$23&lt;&gt;"약점", P100="1-1"), 0.14, ""))</f>
        <v>0.4055294118</v>
      </c>
      <c r="Q111" s="257">
        <f>(sum(Q104:Q106)+'종합'!$K$7+'종합'!$K$15+'종합'!$C$8/100+IF(AND('방어구룬'!$B$39=TRUE, OR(Q100="2-1", Q100="4-1", Q100="4-3")), 0.24, "")+IF(AND('엠블럼룬'!$B$8=TRUE, $B$23&lt;&gt;"약점", Q100="1-1"), 0.14, ""))</f>
        <v>0.4055294118</v>
      </c>
      <c r="R111" s="257">
        <f>(sum(R104:R106)+'종합'!$K$7+'종합'!$K$15+'종합'!$C$8/100+IF(AND('방어구룬'!$B$39=TRUE, OR(R100="2-1", R100="4-1", R100="4-3")), 0.24, "")+IF(AND('엠블럼룬'!$B$8=TRUE, $B$23&lt;&gt;"약점", R100="1-1"), 0.14, ""))</f>
        <v>0.4055294118</v>
      </c>
      <c r="S111" s="257">
        <f>(sum(S104:S106)+'종합'!$K$7+'종합'!$K$15+'종합'!$C$8/100+IF(AND('방어구룬'!$B$39=TRUE, OR(S100="2-1", S100="4-1", S100="4-3")), 0.24, "")+IF(AND('엠블럼룬'!$B$8=TRUE, $B$23&lt;&gt;"약점", S100="1-1"), 0.14, ""))</f>
        <v>0.4055294118</v>
      </c>
      <c r="T111" s="257">
        <f>(sum(T104:T106)+'종합'!$K$7+'종합'!$K$15+'종합'!$C$8/100+IF(AND('방어구룬'!$B$39=TRUE, OR(T100="2-1", T100="4-1", T100="4-3")), 0.24, "")+IF(AND('엠블럼룬'!$B$8=TRUE, $B$23&lt;&gt;"약점", T100="1-1"), 0.14, ""))</f>
        <v>0.4055294118</v>
      </c>
      <c r="U111" s="257">
        <f>(sum(U104:U106)+'종합'!$K$7+'종합'!$K$15+'종합'!$C$8/100+IF(AND('방어구룬'!$B$39=TRUE, OR(U100="2-1", U100="4-1", U100="4-3")), 0.24, "")+IF(AND('엠블럼룬'!$B$8=TRUE, $B$23&lt;&gt;"약점", U100="1-1"), 0.14, ""))</f>
        <v>0.4055294118</v>
      </c>
      <c r="V111" s="257">
        <f>(sum(V104:V106)+'종합'!$K$7+'종합'!$K$15+'종합'!$C$8/100+IF(AND('방어구룬'!$B$39=TRUE, OR(V100="2-1", V100="4-1", V100="4-3")), 0.24, "")+IF(AND('엠블럼룬'!$B$8=TRUE, $B$23&lt;&gt;"약점", V100="1-1"), 0.14, ""))</f>
        <v>0.4055294118</v>
      </c>
      <c r="W111" s="257">
        <f>(sum(W104:W106)+'종합'!$K$7+'종합'!$K$15+'종합'!$C$8/100+IF(AND('방어구룬'!$B$39=TRUE, OR(W100="2-1", W100="4-1", W100="4-3")), 0.24, "")+IF(AND('엠블럼룬'!$B$8=TRUE, $B$23&lt;&gt;"약점", W100="1-1"), 0.14, ""))</f>
        <v>0.4055294118</v>
      </c>
      <c r="X111" s="257">
        <f>(sum(X104:X106)+'종합'!$K$7+'종합'!$K$15+'종합'!$C$8/100+IF(AND('방어구룬'!$B$39=TRUE, OR(X100="2-1", X100="4-1", X100="4-3")), 0.24, "")+IF(AND('엠블럼룬'!$B$8=TRUE, $B$23&lt;&gt;"약점", X100="1-1"), 0.14, ""))</f>
        <v>0.4055294118</v>
      </c>
      <c r="Y111" s="257">
        <f>(sum(Y104:Y106)+'종합'!$K$7+'종합'!$K$15+'종합'!$C$8/100+IF(AND('방어구룬'!$B$39=TRUE, OR(Y100="2-1", Y100="4-1", Y100="4-3")), 0.24, "")+IF(AND('엠블럼룬'!$B$8=TRUE, $B$23&lt;&gt;"약점", Y100="1-1"), 0.14, ""))</f>
        <v>0.4055294118</v>
      </c>
      <c r="Z111" s="257">
        <f>(sum(Z104:Z106)+'종합'!$K$7+'종합'!$K$15+'종합'!$C$8/100+IF(AND('방어구룬'!$B$39=TRUE, OR(Z100="2-1", Z100="4-1", Z100="4-3")), 0.24, "")+IF(AND('엠블럼룬'!$B$8=TRUE, $B$23&lt;&gt;"약점", Z100="1-1"), 0.14, ""))</f>
        <v>0.4055294118</v>
      </c>
      <c r="AA111" s="257">
        <f>(sum(AA104:AA106)+'종합'!$K$7+'종합'!$K$15+'종합'!$C$8/100+IF(AND('방어구룬'!$B$39=TRUE, OR(AA100="2-1", AA100="4-1", AA100="4-3")), 0.24, "")+IF(AND('엠블럼룬'!$B$8=TRUE, $B$23&lt;&gt;"약점", AA100="1-1"), 0.14, ""))</f>
        <v>0.4055294118</v>
      </c>
      <c r="AB111" s="257">
        <f>(sum(AB104:AB106)+'종합'!$K$7+'종합'!$K$15+'종합'!$C$8/100+IF(AND('방어구룬'!$B$39=TRUE, OR(AB100="2-1", AB100="4-1", AB100="4-3")), 0.24, "")+IF(AND('엠블럼룬'!$B$8=TRUE, $B$23&lt;&gt;"약점", AB100="1-1"), 0.14, ""))</f>
        <v>0.4055294118</v>
      </c>
      <c r="AC111" s="257">
        <f>(sum(AC104:AC106)+'종합'!$K$7+'종합'!$K$15+'종합'!$C$8/100+IF(AND('방어구룬'!$B$39=TRUE, OR(AC100="2-1", AC100="4-1", AC100="4-3")), 0.24, "")+IF(AND('엠블럼룬'!$B$8=TRUE, $B$23&lt;&gt;"약점", AC100="1-1"), 0.14, ""))</f>
        <v>0.4055294118</v>
      </c>
      <c r="AD111" s="257">
        <f>(sum(AD104:AD106)+'종합'!$K$7+'종합'!$K$15+'종합'!$C$8/100+IF(AND('방어구룬'!$B$39=TRUE, OR(AD100="2-1", AD100="4-1", AD100="4-3")), 0.24, "")+IF(AND('엠블럼룬'!$B$8=TRUE, $B$23&lt;&gt;"약점", AD100="1-1"), 0.14, ""))</f>
        <v>0.4055294118</v>
      </c>
      <c r="AE111" s="257">
        <f>(sum(AE104:AE106)+'종합'!$K$7+'종합'!$K$15+'종합'!$C$8/100+IF(AND('방어구룬'!$B$39=TRUE, OR(AE100="2-1", AE100="4-1", AE100="4-3")), 0.24, "")+IF(AND('엠블럼룬'!$B$8=TRUE, $B$23&lt;&gt;"약점", AE100="1-1"), 0.14, ""))</f>
        <v>0.4055294118</v>
      </c>
      <c r="AF111" s="257">
        <f>(sum(AF104:AF106)+'종합'!$K$7+'종합'!$K$15+'종합'!$C$8/100+IF(AND('방어구룬'!$B$39=TRUE, OR(AF100="2-1", AF100="4-1", AF100="4-3")), 0.24, "")+IF(AND('엠블럼룬'!$B$8=TRUE, $B$23&lt;&gt;"약점", AF100="1-1"), 0.14, ""))</f>
        <v>0.4055294118</v>
      </c>
      <c r="AG111" s="257">
        <f>(sum(AG104:AG106)+'종합'!$K$7+'종합'!$K$15+'종합'!$C$8/100+IF(AND('방어구룬'!$B$39=TRUE, OR(AG100="2-1", AG100="4-1", AG100="4-3")), 0.24, "")+IF(AND('엠블럼룬'!$B$8=TRUE, $B$23&lt;&gt;"약점", AG100="1-1"), 0.14, ""))</f>
        <v>0.4055294118</v>
      </c>
      <c r="AH111" s="257">
        <f>(sum(AH104:AH106)+'종합'!$K$7+'종합'!$K$15+'종합'!$C$8/100+IF(AND('방어구룬'!$B$39=TRUE, OR(AH100="2-1", AH100="4-1", AH100="4-3")), 0.24, "")+IF(AND('엠블럼룬'!$B$8=TRUE, $B$23&lt;&gt;"약점", AH100="1-1"), 0.14, ""))</f>
        <v>0.4055294118</v>
      </c>
      <c r="AI111" s="62"/>
      <c r="AJ111" s="258">
        <f>IF(AJ110-AJ109 &lt; 0, 0, AJ110-AJ109)</f>
        <v>0</v>
      </c>
      <c r="AK111" s="62" t="s">
        <v>477</v>
      </c>
    </row>
    <row r="112">
      <c r="A112" s="1" t="s">
        <v>478</v>
      </c>
      <c r="B112" s="1"/>
      <c r="C112" s="257">
        <f>C107+C108+'종합'!$K$13</f>
        <v>1.073070019</v>
      </c>
      <c r="D112" s="257">
        <f>D107+D108+'종합'!$K$13</f>
        <v>1.073070019</v>
      </c>
      <c r="E112" s="257">
        <f>E107+E108+'종합'!$K$13</f>
        <v>1.073070019</v>
      </c>
      <c r="F112" s="257">
        <f>F107+F108+'종합'!$K$13</f>
        <v>1.073070019</v>
      </c>
      <c r="G112" s="257">
        <f>G107+G108+'종합'!$K$13</f>
        <v>1.073070019</v>
      </c>
      <c r="H112" s="257">
        <f>H107+H108+'종합'!$K$13</f>
        <v>1.073070019</v>
      </c>
      <c r="I112" s="257">
        <f>I107+I108+'종합'!$K$13</f>
        <v>1.073070019</v>
      </c>
      <c r="J112" s="257">
        <f>J107+J108+'종합'!$K$13</f>
        <v>1.073070019</v>
      </c>
      <c r="K112" s="257">
        <f>K107+K108+'종합'!$K$13</f>
        <v>1.073070019</v>
      </c>
      <c r="L112" s="257">
        <f>L107+L108+'종합'!$K$13</f>
        <v>1.073070019</v>
      </c>
      <c r="M112" s="257">
        <f>M107+M108+'종합'!$K$13</f>
        <v>1.073070019</v>
      </c>
      <c r="N112" s="257">
        <f>N107+N108+'종합'!$K$13</f>
        <v>1.073070019</v>
      </c>
      <c r="O112" s="257">
        <f>O107+O108+'종합'!$K$13</f>
        <v>1.073070019</v>
      </c>
      <c r="P112" s="257">
        <f>P107+P108+'종합'!$K$13</f>
        <v>1.073070019</v>
      </c>
      <c r="Q112" s="257">
        <f>Q107+Q108+'종합'!$K$13</f>
        <v>1.073070019</v>
      </c>
      <c r="R112" s="257">
        <f>R107+R108+'종합'!$K$13</f>
        <v>1.073070019</v>
      </c>
      <c r="S112" s="257">
        <f>S107+S108+'종합'!$K$13</f>
        <v>1.073070019</v>
      </c>
      <c r="T112" s="257">
        <f>T107+T108+'종합'!$K$13</f>
        <v>1.073070019</v>
      </c>
      <c r="U112" s="257">
        <f>U107+U108+'종합'!$K$13</f>
        <v>1.073070019</v>
      </c>
      <c r="V112" s="257">
        <f>V107+V108+'종합'!$K$13</f>
        <v>1.073070019</v>
      </c>
      <c r="W112" s="257">
        <f>W107+W108+'종합'!$K$13</f>
        <v>1.073070019</v>
      </c>
      <c r="X112" s="257">
        <f>X107+X108+'종합'!$K$13</f>
        <v>1.073070019</v>
      </c>
      <c r="Y112" s="257">
        <f>Y107+Y108+'종합'!$K$13</f>
        <v>1.073070019</v>
      </c>
      <c r="Z112" s="257">
        <f>Z107+Z108+'종합'!$K$13</f>
        <v>1.073070019</v>
      </c>
      <c r="AA112" s="257">
        <f>AA107+AA108+'종합'!$K$13</f>
        <v>1.073070019</v>
      </c>
      <c r="AB112" s="257">
        <f>AB107+AB108+'종합'!$K$13</f>
        <v>1.073070019</v>
      </c>
      <c r="AC112" s="257">
        <f>AC107+AC108+'종합'!$K$13</f>
        <v>1.073070019</v>
      </c>
      <c r="AD112" s="257">
        <f>AD107+AD108+'종합'!$K$13</f>
        <v>1.073070019</v>
      </c>
      <c r="AE112" s="257">
        <f>AE107+AE108+'종합'!$K$13</f>
        <v>1.073070019</v>
      </c>
      <c r="AF112" s="257">
        <f>AF107+AF108+'종합'!$K$13</f>
        <v>1.073070019</v>
      </c>
      <c r="AG112" s="257">
        <f>AG107+AG108+'종합'!$K$13</f>
        <v>1.073070019</v>
      </c>
      <c r="AH112" s="257">
        <f>AH107+AH108+'종합'!$K$13</f>
        <v>1.073070019</v>
      </c>
      <c r="AI112" s="62"/>
      <c r="AJ112" s="258">
        <f>0.8*(1-'종합'!I$22)</f>
        <v>0.716896</v>
      </c>
      <c r="AK112" s="62" t="s">
        <v>479</v>
      </c>
    </row>
    <row r="113">
      <c r="A113" s="1" t="s">
        <v>480</v>
      </c>
      <c r="B113" s="1"/>
      <c r="C113" s="257">
        <f>1-'종합'!$K$17+'종합'!$K$12*'종합'!$K$17</f>
        <v>2.472480923</v>
      </c>
      <c r="D113" s="257">
        <f>1-'종합'!$K$17+'종합'!$K$12*'종합'!$K$17</f>
        <v>2.472480923</v>
      </c>
      <c r="E113" s="257">
        <f>1-'종합'!$K$17+'종합'!$K$12*'종합'!$K$17</f>
        <v>2.472480923</v>
      </c>
      <c r="F113" s="257">
        <f>1-'종합'!$K$17+'종합'!$K$12*'종합'!$K$17</f>
        <v>2.472480923</v>
      </c>
      <c r="G113" s="257">
        <f>1-'종합'!$K$17+'종합'!$K$12*'종합'!$K$17</f>
        <v>2.472480923</v>
      </c>
      <c r="H113" s="257">
        <f>1-'종합'!$K$17+'종합'!$K$12*'종합'!$K$17</f>
        <v>2.472480923</v>
      </c>
      <c r="I113" s="257">
        <f>1-'종합'!$K$17+'종합'!$K$12*'종합'!$K$17</f>
        <v>2.472480923</v>
      </c>
      <c r="J113" s="257">
        <f>1-'종합'!$K$17+'종합'!$K$12*'종합'!$K$17</f>
        <v>2.472480923</v>
      </c>
      <c r="K113" s="257">
        <f>1-'종합'!$K$17+'종합'!$K$12*'종합'!$K$17</f>
        <v>2.472480923</v>
      </c>
      <c r="L113" s="257">
        <f>1-'종합'!$K$17+'종합'!$K$12*'종합'!$K$17</f>
        <v>2.472480923</v>
      </c>
      <c r="M113" s="257">
        <f>1-'종합'!$K$17+'종합'!$K$12*'종합'!$K$17</f>
        <v>2.472480923</v>
      </c>
      <c r="N113" s="257">
        <f>1-'종합'!$K$17+'종합'!$K$12*'종합'!$K$17</f>
        <v>2.472480923</v>
      </c>
      <c r="O113" s="257">
        <f>1-'종합'!$K$17+'종합'!$K$12*'종합'!$K$17</f>
        <v>2.472480923</v>
      </c>
      <c r="P113" s="257">
        <f>1-'종합'!$K$17+'종합'!$K$12*'종합'!$K$17</f>
        <v>2.472480923</v>
      </c>
      <c r="Q113" s="257">
        <f>1-'종합'!$K$17+'종합'!$K$12*'종합'!$K$17</f>
        <v>2.472480923</v>
      </c>
      <c r="R113" s="257">
        <f>1-'종합'!$K$17+'종합'!$K$12*'종합'!$K$17</f>
        <v>2.472480923</v>
      </c>
      <c r="S113" s="257">
        <f>1-'종합'!$K$17+'종합'!$K$12*'종합'!$K$17</f>
        <v>2.472480923</v>
      </c>
      <c r="T113" s="257">
        <f>1-'종합'!$K$17+'종합'!$K$12*'종합'!$K$17</f>
        <v>2.472480923</v>
      </c>
      <c r="U113" s="257">
        <f>1-'종합'!$K$17+'종합'!$K$12*'종합'!$K$17</f>
        <v>2.472480923</v>
      </c>
      <c r="V113" s="257">
        <f>1-'종합'!$K$17+'종합'!$K$12*'종합'!$K$17</f>
        <v>2.472480923</v>
      </c>
      <c r="W113" s="257">
        <f>1-'종합'!$K$17+'종합'!$K$12*'종합'!$K$17</f>
        <v>2.472480923</v>
      </c>
      <c r="X113" s="257">
        <f>1-'종합'!$K$17+'종합'!$K$12*'종합'!$K$17</f>
        <v>2.472480923</v>
      </c>
      <c r="Y113" s="257">
        <f>1-'종합'!$K$17+'종합'!$K$12*'종합'!$K$17</f>
        <v>2.472480923</v>
      </c>
      <c r="Z113" s="257">
        <f>1-'종합'!$K$17+'종합'!$K$12*'종합'!$K$17</f>
        <v>2.472480923</v>
      </c>
      <c r="AA113" s="257">
        <f>1-'종합'!$K$17+'종합'!$K$12*'종합'!$K$17</f>
        <v>2.472480923</v>
      </c>
      <c r="AB113" s="257">
        <f>1-'종합'!$K$17+'종합'!$K$12*'종합'!$K$17</f>
        <v>2.472480923</v>
      </c>
      <c r="AC113" s="257">
        <f>1-'종합'!$K$17+'종합'!$K$12*'종합'!$K$17</f>
        <v>2.472480923</v>
      </c>
      <c r="AD113" s="257">
        <f>1-'종합'!$K$17+'종합'!$K$12*'종합'!$K$17</f>
        <v>2.472480923</v>
      </c>
      <c r="AE113" s="257">
        <f>1-'종합'!$K$17+'종합'!$K$12*'종합'!$K$17</f>
        <v>2.472480923</v>
      </c>
      <c r="AF113" s="257">
        <f>1-'종합'!$K$17+'종합'!$K$12*'종합'!$K$17</f>
        <v>2.472480923</v>
      </c>
      <c r="AG113" s="257">
        <f>1-'종합'!$K$17+'종합'!$K$12*'종합'!$K$17</f>
        <v>2.472480923</v>
      </c>
      <c r="AH113" s="257">
        <f>1-'종합'!$K$17+'종합'!$K$12*'종합'!$K$17</f>
        <v>2.472480923</v>
      </c>
      <c r="AI113" s="62"/>
      <c r="AJ113" s="258">
        <f>'헬퍼테이블'!E122</f>
        <v>0</v>
      </c>
      <c r="AK113" s="62" t="s">
        <v>481</v>
      </c>
    </row>
    <row r="114">
      <c r="A114" s="1" t="s">
        <v>482</v>
      </c>
      <c r="B114" s="1"/>
      <c r="C114" s="257">
        <f>1-'종합'!$K$16+'종합'!$K$11*'종합'!$K$16</f>
        <v>1.313522756</v>
      </c>
      <c r="D114" s="257">
        <f>1-'종합'!$K$16+'종합'!$K$11*'종합'!$K$16</f>
        <v>1.313522756</v>
      </c>
      <c r="E114" s="257">
        <f>1-'종합'!$K$16+'종합'!$K$11*'종합'!$K$16</f>
        <v>1.313522756</v>
      </c>
      <c r="F114" s="257">
        <f>1-'종합'!$K$16+'종합'!$K$11*'종합'!$K$16</f>
        <v>1.313522756</v>
      </c>
      <c r="G114" s="257">
        <f>1-'종합'!$K$16+'종합'!$K$11*'종합'!$K$16</f>
        <v>1.313522756</v>
      </c>
      <c r="H114" s="257">
        <f>1-'종합'!$K$16+'종합'!$K$11*'종합'!$K$16</f>
        <v>1.313522756</v>
      </c>
      <c r="I114" s="257">
        <f>1-'종합'!$K$16+'종합'!$K$11*'종합'!$K$16</f>
        <v>1.313522756</v>
      </c>
      <c r="J114" s="257">
        <f>1-'종합'!$K$16+'종합'!$K$11*'종합'!$K$16</f>
        <v>1.313522756</v>
      </c>
      <c r="K114" s="257">
        <f>1-'종합'!$K$16+'종합'!$K$11*'종합'!$K$16</f>
        <v>1.313522756</v>
      </c>
      <c r="L114" s="257">
        <f>1-'종합'!$K$16+'종합'!$K$11*'종합'!$K$16</f>
        <v>1.313522756</v>
      </c>
      <c r="M114" s="257">
        <f>1-'종합'!$K$16+'종합'!$K$11*'종합'!$K$16</f>
        <v>1.313522756</v>
      </c>
      <c r="N114" s="257">
        <f>1-'종합'!$K$16+'종합'!$K$11*'종합'!$K$16</f>
        <v>1.313522756</v>
      </c>
      <c r="O114" s="257">
        <f>1-'종합'!$K$16+'종합'!$K$11*'종합'!$K$16</f>
        <v>1.313522756</v>
      </c>
      <c r="P114" s="257">
        <f>1-'종합'!$K$16+'종합'!$K$11*'종합'!$K$16</f>
        <v>1.313522756</v>
      </c>
      <c r="Q114" s="257">
        <f>1-'종합'!$K$16+'종합'!$K$11*'종합'!$K$16</f>
        <v>1.313522756</v>
      </c>
      <c r="R114" s="257">
        <f>1-'종합'!$K$16+'종합'!$K$11*'종합'!$K$16</f>
        <v>1.313522756</v>
      </c>
      <c r="S114" s="257">
        <f>1-'종합'!$K$16+'종합'!$K$11*'종합'!$K$16</f>
        <v>1.313522756</v>
      </c>
      <c r="T114" s="257">
        <f>1-'종합'!$K$16+'종합'!$K$11*'종합'!$K$16</f>
        <v>1.313522756</v>
      </c>
      <c r="U114" s="257">
        <f>1-'종합'!$K$16+'종합'!$K$11*'종합'!$K$16</f>
        <v>1.313522756</v>
      </c>
      <c r="V114" s="257">
        <f>1-'종합'!$K$16+'종합'!$K$11*'종합'!$K$16</f>
        <v>1.313522756</v>
      </c>
      <c r="W114" s="257">
        <f>1-'종합'!$K$16+'종합'!$K$11*'종합'!$K$16</f>
        <v>1.313522756</v>
      </c>
      <c r="X114" s="257">
        <f>1-'종합'!$K$16+'종합'!$K$11*'종합'!$K$16</f>
        <v>1.313522756</v>
      </c>
      <c r="Y114" s="257">
        <f>1-'종합'!$K$16+'종합'!$K$11*'종합'!$K$16</f>
        <v>1.313522756</v>
      </c>
      <c r="Z114" s="257">
        <f>1-'종합'!$K$16+'종합'!$K$11*'종합'!$K$16</f>
        <v>1.313522756</v>
      </c>
      <c r="AA114" s="257">
        <f>1-'종합'!$K$16+'종합'!$K$11*'종합'!$K$16</f>
        <v>1.313522756</v>
      </c>
      <c r="AB114" s="257">
        <f>1-'종합'!$K$16+'종합'!$K$11*'종합'!$K$16</f>
        <v>1.313522756</v>
      </c>
      <c r="AC114" s="257">
        <f>1-'종합'!$K$16+'종합'!$K$11*'종합'!$K$16</f>
        <v>1.313522756</v>
      </c>
      <c r="AD114" s="257">
        <f>1-'종합'!$K$16+'종합'!$K$11*'종합'!$K$16</f>
        <v>1.313522756</v>
      </c>
      <c r="AE114" s="257">
        <f>1-'종합'!$K$16+'종합'!$K$11*'종합'!$K$16</f>
        <v>1.313522756</v>
      </c>
      <c r="AF114" s="257">
        <f>1-'종합'!$K$16+'종합'!$K$11*'종합'!$K$16</f>
        <v>1.313522756</v>
      </c>
      <c r="AG114" s="257">
        <f>1-'종합'!$K$16+'종합'!$K$11*'종합'!$K$16</f>
        <v>1.313522756</v>
      </c>
      <c r="AH114" s="257">
        <f>1-'종합'!$K$16+'종합'!$K$11*'종합'!$K$16</f>
        <v>1.313522756</v>
      </c>
      <c r="AI114" s="62"/>
      <c r="AJ114" s="62"/>
      <c r="AK114" s="62"/>
    </row>
    <row r="115">
      <c r="A115" s="1" t="s">
        <v>483</v>
      </c>
      <c r="B115" s="1"/>
      <c r="C115" s="151">
        <f t="shared" ref="C115:AH115" si="45">C101*(1+C111)*(1+C112)*C113*C114</f>
        <v>57.88742599</v>
      </c>
      <c r="D115" s="151">
        <f t="shared" si="45"/>
        <v>17.27538391</v>
      </c>
      <c r="E115" s="151">
        <f t="shared" si="45"/>
        <v>80.47332127</v>
      </c>
      <c r="F115" s="151">
        <f t="shared" si="45"/>
        <v>57.88742599</v>
      </c>
      <c r="G115" s="151">
        <f t="shared" si="45"/>
        <v>0</v>
      </c>
      <c r="H115" s="151">
        <f t="shared" si="45"/>
        <v>0</v>
      </c>
      <c r="I115" s="151">
        <f t="shared" si="45"/>
        <v>0</v>
      </c>
      <c r="J115" s="151">
        <f t="shared" si="45"/>
        <v>0</v>
      </c>
      <c r="K115" s="151">
        <f t="shared" si="45"/>
        <v>0</v>
      </c>
      <c r="L115" s="258">
        <f t="shared" si="45"/>
        <v>0</v>
      </c>
      <c r="M115" s="151">
        <f t="shared" si="45"/>
        <v>0</v>
      </c>
      <c r="N115" s="151">
        <f t="shared" si="45"/>
        <v>0</v>
      </c>
      <c r="O115" s="151">
        <f t="shared" si="45"/>
        <v>0</v>
      </c>
      <c r="P115" s="151">
        <f t="shared" si="45"/>
        <v>0</v>
      </c>
      <c r="Q115" s="258">
        <f t="shared" si="45"/>
        <v>0</v>
      </c>
      <c r="R115" s="258">
        <f t="shared" si="45"/>
        <v>0</v>
      </c>
      <c r="S115" s="258">
        <f t="shared" si="45"/>
        <v>0</v>
      </c>
      <c r="T115" s="258">
        <f t="shared" si="45"/>
        <v>0</v>
      </c>
      <c r="U115" s="258">
        <f t="shared" si="45"/>
        <v>0</v>
      </c>
      <c r="V115" s="258">
        <f t="shared" si="45"/>
        <v>0</v>
      </c>
      <c r="W115" s="258">
        <f t="shared" si="45"/>
        <v>0</v>
      </c>
      <c r="X115" s="258">
        <f t="shared" si="45"/>
        <v>0</v>
      </c>
      <c r="Y115" s="258">
        <f t="shared" si="45"/>
        <v>0</v>
      </c>
      <c r="Z115" s="258">
        <f t="shared" si="45"/>
        <v>0</v>
      </c>
      <c r="AA115" s="258">
        <f t="shared" si="45"/>
        <v>0</v>
      </c>
      <c r="AB115" s="258">
        <f t="shared" si="45"/>
        <v>0</v>
      </c>
      <c r="AC115" s="258">
        <f t="shared" si="45"/>
        <v>0</v>
      </c>
      <c r="AD115" s="258">
        <f t="shared" si="45"/>
        <v>0</v>
      </c>
      <c r="AE115" s="258">
        <f t="shared" si="45"/>
        <v>0</v>
      </c>
      <c r="AF115" s="258">
        <f t="shared" si="45"/>
        <v>0</v>
      </c>
      <c r="AG115" s="258">
        <f t="shared" si="45"/>
        <v>0</v>
      </c>
      <c r="AH115" s="258">
        <f t="shared" si="45"/>
        <v>0</v>
      </c>
      <c r="AI115" s="62"/>
      <c r="AJ115" s="62"/>
      <c r="AK115" s="62"/>
    </row>
    <row r="116">
      <c r="A116" s="1" t="s">
        <v>484</v>
      </c>
      <c r="B116" s="1"/>
      <c r="C116" s="151">
        <f t="shared" ref="C116:AH116" si="46">C101*(1+C111)*(1+C112)*C113*C102*IF(OR(C100="1-2", C100="2-2", C100="4-1", C100="4-3", C100="5-1", C100="5-3"), 1,C114)</f>
        <v>0</v>
      </c>
      <c r="D116" s="151">
        <f t="shared" si="46"/>
        <v>0</v>
      </c>
      <c r="E116" s="151">
        <f t="shared" si="46"/>
        <v>28.16566245</v>
      </c>
      <c r="F116" s="151">
        <f t="shared" si="46"/>
        <v>0</v>
      </c>
      <c r="G116" s="151">
        <f t="shared" si="46"/>
        <v>0</v>
      </c>
      <c r="H116" s="151">
        <f t="shared" si="46"/>
        <v>0</v>
      </c>
      <c r="I116" s="151">
        <f t="shared" si="46"/>
        <v>0</v>
      </c>
      <c r="J116" s="151">
        <f t="shared" si="46"/>
        <v>0</v>
      </c>
      <c r="K116" s="151">
        <f t="shared" si="46"/>
        <v>0</v>
      </c>
      <c r="L116" s="258">
        <f t="shared" si="46"/>
        <v>0</v>
      </c>
      <c r="M116" s="151">
        <f t="shared" si="46"/>
        <v>0</v>
      </c>
      <c r="N116" s="151">
        <f t="shared" si="46"/>
        <v>0</v>
      </c>
      <c r="O116" s="151">
        <f t="shared" si="46"/>
        <v>0</v>
      </c>
      <c r="P116" s="151">
        <f t="shared" si="46"/>
        <v>0</v>
      </c>
      <c r="Q116" s="258">
        <f t="shared" si="46"/>
        <v>0</v>
      </c>
      <c r="R116" s="258">
        <f t="shared" si="46"/>
        <v>0</v>
      </c>
      <c r="S116" s="258">
        <f t="shared" si="46"/>
        <v>0</v>
      </c>
      <c r="T116" s="258">
        <f t="shared" si="46"/>
        <v>0</v>
      </c>
      <c r="U116" s="258">
        <f t="shared" si="46"/>
        <v>0</v>
      </c>
      <c r="V116" s="258">
        <f t="shared" si="46"/>
        <v>0</v>
      </c>
      <c r="W116" s="258">
        <f t="shared" si="46"/>
        <v>0</v>
      </c>
      <c r="X116" s="258">
        <f t="shared" si="46"/>
        <v>0</v>
      </c>
      <c r="Y116" s="258">
        <f t="shared" si="46"/>
        <v>0</v>
      </c>
      <c r="Z116" s="258">
        <f t="shared" si="46"/>
        <v>0</v>
      </c>
      <c r="AA116" s="258">
        <f t="shared" si="46"/>
        <v>0</v>
      </c>
      <c r="AB116" s="258">
        <f t="shared" si="46"/>
        <v>0</v>
      </c>
      <c r="AC116" s="258">
        <f t="shared" si="46"/>
        <v>0</v>
      </c>
      <c r="AD116" s="258">
        <f t="shared" si="46"/>
        <v>0</v>
      </c>
      <c r="AE116" s="258">
        <f t="shared" si="46"/>
        <v>0</v>
      </c>
      <c r="AF116" s="258">
        <f t="shared" si="46"/>
        <v>0</v>
      </c>
      <c r="AG116" s="258">
        <f t="shared" si="46"/>
        <v>0</v>
      </c>
      <c r="AH116" s="258">
        <f t="shared" si="46"/>
        <v>0</v>
      </c>
      <c r="AI116" s="62"/>
      <c r="AJ116" s="258">
        <f>'헬퍼테이블'!E123</f>
        <v>3.314608</v>
      </c>
      <c r="AK116" s="62" t="s">
        <v>485</v>
      </c>
    </row>
    <row r="117">
      <c r="A117" s="1" t="s">
        <v>141</v>
      </c>
      <c r="B117" s="217">
        <f>SUM(OFFSET(A115, 0, C98, 2, C98))</f>
        <v>183.8017936</v>
      </c>
      <c r="C117" s="217">
        <f>(1-'종합'!$K$17+'종합'!$K$12*'종합'!$K$17)*(1-'종합'!$K$16+'종합'!$K$11*'종합'!$K$16)*AJ117</f>
        <v>1.051007715</v>
      </c>
      <c r="D117" s="217">
        <f>(1-'종합'!$K$17+'종합'!$K$12*'종합'!$K$17)*(1-('종합'!$K$16+'종합'!$K$23)+'종합'!$K$11*('종합'!$K$16+'종합'!$K$23))*AJ113*if('무기룬'!$B$17=true,1.92,0.4)</f>
        <v>0</v>
      </c>
      <c r="E117" s="217">
        <f>sum(B117:D117)/AJ116</f>
        <v>55.76912906</v>
      </c>
      <c r="F117" s="215"/>
      <c r="G117" s="1"/>
      <c r="H117" s="1"/>
      <c r="I117" s="1"/>
      <c r="J117" s="1"/>
      <c r="K117" s="1"/>
      <c r="L117" s="62"/>
      <c r="M117" s="1"/>
      <c r="N117" s="1"/>
      <c r="O117" s="1"/>
      <c r="P117" s="1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258">
        <f>0.22*(1+'종합'!$C$28)*C98/3</f>
        <v>0.32362</v>
      </c>
      <c r="AK117" s="62" t="s">
        <v>486</v>
      </c>
    </row>
    <row r="118">
      <c r="A118" s="1"/>
      <c r="B118" s="1"/>
      <c r="C118" s="1"/>
      <c r="D118" s="1"/>
      <c r="E118" s="1"/>
      <c r="F118" s="1"/>
      <c r="G118" s="1"/>
      <c r="H118" s="1"/>
      <c r="I118" s="1">
        <f>sum(D115:F116)</f>
        <v>183.8017936</v>
      </c>
      <c r="J118" s="1"/>
      <c r="K118" s="1"/>
      <c r="L118" s="62"/>
      <c r="M118" s="1"/>
      <c r="N118" s="1"/>
      <c r="O118" s="1"/>
      <c r="P118" s="1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</row>
    <row r="119">
      <c r="L119" s="262"/>
      <c r="Q119" s="262"/>
      <c r="R119" s="262"/>
      <c r="S119" s="262"/>
      <c r="T119" s="262"/>
      <c r="U119" s="262"/>
      <c r="V119" s="262"/>
      <c r="W119" s="263"/>
      <c r="X119" s="263"/>
      <c r="Y119" s="263"/>
      <c r="Z119" s="263"/>
      <c r="AA119" s="263"/>
      <c r="AB119" s="263"/>
      <c r="AC119" s="263"/>
      <c r="AD119" s="263"/>
      <c r="AE119" s="263"/>
      <c r="AF119" s="263"/>
      <c r="AG119" s="263"/>
      <c r="AH119" s="263"/>
      <c r="AI119" s="263"/>
      <c r="AJ119" s="263"/>
      <c r="AK119" s="263"/>
    </row>
    <row r="120">
      <c r="L120" s="262"/>
      <c r="Q120" s="262"/>
      <c r="R120" s="262"/>
      <c r="S120" s="262"/>
      <c r="T120" s="262"/>
      <c r="U120" s="262"/>
      <c r="V120" s="262"/>
      <c r="W120" s="263"/>
      <c r="X120" s="263"/>
      <c r="Y120" s="263"/>
      <c r="Z120" s="263"/>
      <c r="AA120" s="263"/>
      <c r="AB120" s="263"/>
      <c r="AC120" s="263"/>
      <c r="AD120" s="263"/>
      <c r="AE120" s="263"/>
      <c r="AF120" s="263"/>
      <c r="AG120" s="263"/>
      <c r="AH120" s="263"/>
      <c r="AI120" s="263"/>
      <c r="AJ120" s="263"/>
      <c r="AK120" s="263"/>
    </row>
    <row r="121">
      <c r="L121" s="262"/>
      <c r="Q121" s="262"/>
      <c r="R121" s="262"/>
      <c r="S121" s="262"/>
      <c r="T121" s="262"/>
      <c r="U121" s="262"/>
      <c r="V121" s="262"/>
      <c r="W121" s="263"/>
      <c r="X121" s="263"/>
      <c r="Y121" s="263"/>
      <c r="Z121" s="263"/>
      <c r="AA121" s="263"/>
      <c r="AB121" s="263"/>
      <c r="AC121" s="263"/>
      <c r="AD121" s="263"/>
      <c r="AE121" s="263"/>
      <c r="AF121" s="263"/>
      <c r="AG121" s="263"/>
      <c r="AH121" s="263"/>
      <c r="AI121" s="263"/>
      <c r="AJ121" s="263"/>
      <c r="AK121" s="263"/>
    </row>
    <row r="122">
      <c r="L122" s="262"/>
      <c r="Q122" s="262"/>
      <c r="R122" s="262"/>
      <c r="S122" s="262"/>
      <c r="T122" s="262"/>
      <c r="U122" s="262"/>
      <c r="V122" s="262"/>
      <c r="W122" s="263"/>
      <c r="X122" s="263"/>
      <c r="Y122" s="263"/>
      <c r="Z122" s="263"/>
      <c r="AA122" s="263"/>
      <c r="AB122" s="263"/>
      <c r="AC122" s="263"/>
      <c r="AD122" s="263"/>
      <c r="AE122" s="263"/>
      <c r="AF122" s="263"/>
      <c r="AG122" s="263"/>
      <c r="AH122" s="263"/>
      <c r="AI122" s="263"/>
      <c r="AJ122" s="263"/>
      <c r="AK122" s="263"/>
    </row>
    <row r="123">
      <c r="L123" s="262"/>
      <c r="Q123" s="262"/>
      <c r="R123" s="262"/>
      <c r="S123" s="262"/>
      <c r="T123" s="262"/>
      <c r="U123" s="262"/>
      <c r="V123" s="262"/>
      <c r="W123" s="263"/>
      <c r="X123" s="263"/>
      <c r="Y123" s="263"/>
      <c r="Z123" s="263"/>
      <c r="AA123" s="263"/>
      <c r="AB123" s="263"/>
      <c r="AC123" s="263"/>
      <c r="AD123" s="263"/>
      <c r="AE123" s="263"/>
      <c r="AF123" s="263"/>
      <c r="AG123" s="263"/>
      <c r="AH123" s="263"/>
      <c r="AI123" s="263"/>
      <c r="AJ123" s="263"/>
      <c r="AK123" s="263"/>
    </row>
    <row r="124">
      <c r="L124" s="262"/>
      <c r="Q124" s="262"/>
      <c r="R124" s="262"/>
      <c r="S124" s="262"/>
      <c r="T124" s="262"/>
      <c r="U124" s="262"/>
      <c r="V124" s="262"/>
      <c r="W124" s="263"/>
      <c r="X124" s="263"/>
      <c r="Y124" s="263"/>
      <c r="Z124" s="263"/>
      <c r="AA124" s="263"/>
      <c r="AB124" s="263"/>
      <c r="AC124" s="263"/>
      <c r="AD124" s="263"/>
      <c r="AE124" s="263"/>
      <c r="AF124" s="263"/>
      <c r="AG124" s="263"/>
      <c r="AH124" s="263"/>
      <c r="AI124" s="263"/>
      <c r="AJ124" s="263"/>
      <c r="AK124" s="263"/>
    </row>
    <row r="125">
      <c r="L125" s="262"/>
      <c r="Q125" s="262"/>
      <c r="R125" s="262"/>
      <c r="S125" s="262"/>
      <c r="T125" s="262"/>
      <c r="U125" s="262"/>
      <c r="V125" s="262"/>
      <c r="W125" s="263"/>
      <c r="X125" s="263"/>
      <c r="Y125" s="263"/>
      <c r="Z125" s="263"/>
      <c r="AA125" s="263"/>
      <c r="AB125" s="263"/>
      <c r="AC125" s="263"/>
      <c r="AD125" s="263"/>
      <c r="AE125" s="263"/>
      <c r="AF125" s="263"/>
      <c r="AG125" s="263"/>
      <c r="AH125" s="263"/>
      <c r="AI125" s="263"/>
      <c r="AJ125" s="263"/>
      <c r="AK125" s="263"/>
    </row>
    <row r="126">
      <c r="L126" s="262"/>
      <c r="Q126" s="262"/>
      <c r="R126" s="262"/>
      <c r="S126" s="262"/>
      <c r="T126" s="262"/>
      <c r="U126" s="262"/>
      <c r="V126" s="262"/>
      <c r="W126" s="263"/>
      <c r="X126" s="263"/>
      <c r="Y126" s="263"/>
      <c r="Z126" s="263"/>
      <c r="AA126" s="263"/>
      <c r="AB126" s="263"/>
      <c r="AC126" s="263"/>
      <c r="AD126" s="263"/>
      <c r="AE126" s="263"/>
      <c r="AF126" s="263"/>
      <c r="AG126" s="263"/>
      <c r="AH126" s="263"/>
      <c r="AI126" s="263"/>
      <c r="AJ126" s="263"/>
      <c r="AK126" s="263"/>
    </row>
    <row r="127">
      <c r="L127" s="262"/>
      <c r="Q127" s="262"/>
      <c r="R127" s="262"/>
      <c r="S127" s="262"/>
      <c r="T127" s="262"/>
      <c r="U127" s="262"/>
      <c r="V127" s="262"/>
      <c r="W127" s="263"/>
      <c r="X127" s="263"/>
      <c r="Y127" s="263"/>
      <c r="Z127" s="263"/>
      <c r="AA127" s="263"/>
      <c r="AB127" s="263"/>
      <c r="AC127" s="263"/>
      <c r="AD127" s="263"/>
      <c r="AE127" s="263"/>
      <c r="AF127" s="263"/>
      <c r="AG127" s="263"/>
      <c r="AH127" s="263"/>
      <c r="AI127" s="263"/>
      <c r="AJ127" s="263"/>
      <c r="AK127" s="263"/>
    </row>
    <row r="128">
      <c r="L128" s="262"/>
      <c r="Q128" s="262"/>
      <c r="R128" s="262"/>
      <c r="S128" s="262"/>
      <c r="T128" s="262"/>
      <c r="U128" s="262"/>
      <c r="V128" s="262"/>
      <c r="W128" s="263"/>
      <c r="X128" s="263"/>
      <c r="Y128" s="263"/>
      <c r="Z128" s="263"/>
      <c r="AA128" s="263"/>
      <c r="AB128" s="263"/>
      <c r="AC128" s="263"/>
      <c r="AD128" s="263"/>
      <c r="AE128" s="263"/>
      <c r="AF128" s="263"/>
      <c r="AG128" s="263"/>
      <c r="AH128" s="263"/>
      <c r="AI128" s="263"/>
      <c r="AJ128" s="263"/>
      <c r="AK128" s="263"/>
    </row>
    <row r="129">
      <c r="L129" s="262"/>
      <c r="Q129" s="262"/>
      <c r="R129" s="262"/>
      <c r="S129" s="262"/>
      <c r="T129" s="262"/>
      <c r="U129" s="262"/>
      <c r="V129" s="262"/>
      <c r="W129" s="263"/>
      <c r="X129" s="263"/>
      <c r="Y129" s="263"/>
      <c r="Z129" s="263"/>
      <c r="AA129" s="263"/>
      <c r="AB129" s="263"/>
      <c r="AC129" s="263"/>
      <c r="AD129" s="263"/>
      <c r="AE129" s="263"/>
      <c r="AF129" s="263"/>
      <c r="AG129" s="263"/>
      <c r="AH129" s="263"/>
      <c r="AI129" s="263"/>
      <c r="AJ129" s="263"/>
      <c r="AK129" s="263"/>
    </row>
    <row r="130">
      <c r="L130" s="262"/>
      <c r="Q130" s="262"/>
      <c r="R130" s="262"/>
      <c r="S130" s="262"/>
      <c r="T130" s="262"/>
      <c r="U130" s="262"/>
      <c r="V130" s="262"/>
      <c r="W130" s="263"/>
      <c r="X130" s="263"/>
      <c r="Y130" s="263"/>
      <c r="Z130" s="263"/>
      <c r="AA130" s="263"/>
      <c r="AB130" s="263"/>
      <c r="AC130" s="263"/>
      <c r="AD130" s="263"/>
      <c r="AE130" s="263"/>
      <c r="AF130" s="263"/>
      <c r="AG130" s="263"/>
      <c r="AH130" s="263"/>
      <c r="AI130" s="263"/>
      <c r="AJ130" s="263"/>
      <c r="AK130" s="263"/>
    </row>
    <row r="131">
      <c r="L131" s="262"/>
      <c r="Q131" s="262"/>
      <c r="R131" s="262"/>
      <c r="S131" s="262"/>
      <c r="T131" s="262"/>
      <c r="U131" s="262"/>
      <c r="V131" s="262"/>
      <c r="W131" s="263"/>
      <c r="X131" s="263"/>
      <c r="Y131" s="263"/>
      <c r="Z131" s="263"/>
      <c r="AA131" s="263"/>
      <c r="AB131" s="263"/>
      <c r="AC131" s="263"/>
      <c r="AD131" s="263"/>
      <c r="AE131" s="263"/>
      <c r="AF131" s="263"/>
      <c r="AG131" s="263"/>
      <c r="AH131" s="263"/>
      <c r="AI131" s="263"/>
      <c r="AJ131" s="263"/>
      <c r="AK131" s="263"/>
    </row>
    <row r="132">
      <c r="L132" s="262"/>
      <c r="Q132" s="262"/>
      <c r="R132" s="262"/>
      <c r="S132" s="262"/>
      <c r="T132" s="262"/>
      <c r="U132" s="262"/>
      <c r="V132" s="262"/>
      <c r="W132" s="263"/>
      <c r="X132" s="263"/>
      <c r="Y132" s="263"/>
      <c r="Z132" s="263"/>
      <c r="AA132" s="263"/>
      <c r="AB132" s="263"/>
      <c r="AC132" s="263"/>
      <c r="AD132" s="263"/>
      <c r="AE132" s="263"/>
      <c r="AF132" s="263"/>
      <c r="AG132" s="263"/>
      <c r="AH132" s="263"/>
      <c r="AI132" s="263"/>
      <c r="AJ132" s="263"/>
      <c r="AK132" s="263"/>
    </row>
    <row r="133">
      <c r="L133" s="262"/>
      <c r="Q133" s="262"/>
      <c r="R133" s="262"/>
      <c r="S133" s="262"/>
      <c r="T133" s="262"/>
      <c r="U133" s="262"/>
      <c r="V133" s="262"/>
      <c r="W133" s="263"/>
      <c r="X133" s="263"/>
      <c r="Y133" s="263"/>
      <c r="Z133" s="263"/>
      <c r="AA133" s="263"/>
      <c r="AB133" s="263"/>
      <c r="AC133" s="263"/>
      <c r="AD133" s="263"/>
      <c r="AE133" s="263"/>
      <c r="AF133" s="263"/>
      <c r="AG133" s="263"/>
      <c r="AH133" s="263"/>
      <c r="AI133" s="263"/>
      <c r="AJ133" s="263"/>
      <c r="AK133" s="263"/>
    </row>
    <row r="134">
      <c r="L134" s="262"/>
      <c r="Q134" s="262"/>
      <c r="R134" s="262"/>
      <c r="S134" s="262"/>
      <c r="T134" s="262"/>
      <c r="U134" s="262"/>
      <c r="V134" s="262"/>
      <c r="W134" s="263"/>
      <c r="X134" s="263"/>
      <c r="Y134" s="263"/>
      <c r="Z134" s="263"/>
      <c r="AA134" s="263"/>
      <c r="AB134" s="263"/>
      <c r="AC134" s="263"/>
      <c r="AD134" s="263"/>
      <c r="AE134" s="263"/>
      <c r="AF134" s="263"/>
      <c r="AG134" s="263"/>
      <c r="AH134" s="263"/>
      <c r="AI134" s="263"/>
      <c r="AJ134" s="263"/>
      <c r="AK134" s="263"/>
    </row>
    <row r="135">
      <c r="L135" s="262"/>
      <c r="Q135" s="262"/>
      <c r="R135" s="262"/>
      <c r="S135" s="262"/>
      <c r="T135" s="262"/>
      <c r="U135" s="262"/>
      <c r="V135" s="262"/>
      <c r="W135" s="263"/>
      <c r="X135" s="263"/>
      <c r="Y135" s="263"/>
      <c r="Z135" s="263"/>
      <c r="AA135" s="263"/>
      <c r="AB135" s="263"/>
      <c r="AC135" s="263"/>
      <c r="AD135" s="263"/>
      <c r="AE135" s="263"/>
      <c r="AF135" s="263"/>
      <c r="AG135" s="263"/>
      <c r="AH135" s="263"/>
      <c r="AI135" s="263"/>
      <c r="AJ135" s="263"/>
      <c r="AK135" s="263"/>
    </row>
    <row r="136">
      <c r="L136" s="262"/>
      <c r="Q136" s="262"/>
      <c r="R136" s="262"/>
      <c r="S136" s="262"/>
      <c r="T136" s="262"/>
      <c r="U136" s="262"/>
      <c r="V136" s="262"/>
      <c r="W136" s="263"/>
      <c r="X136" s="263"/>
      <c r="Y136" s="263"/>
      <c r="Z136" s="263"/>
      <c r="AA136" s="263"/>
      <c r="AB136" s="263"/>
      <c r="AC136" s="263"/>
      <c r="AD136" s="263"/>
      <c r="AE136" s="263"/>
      <c r="AF136" s="263"/>
      <c r="AG136" s="263"/>
      <c r="AH136" s="263"/>
      <c r="AI136" s="263"/>
      <c r="AJ136" s="263"/>
      <c r="AK136" s="263"/>
    </row>
    <row r="137">
      <c r="L137" s="262"/>
      <c r="Q137" s="262"/>
      <c r="R137" s="262"/>
      <c r="S137" s="262"/>
      <c r="T137" s="262"/>
      <c r="U137" s="262"/>
      <c r="V137" s="262"/>
      <c r="W137" s="263"/>
      <c r="X137" s="263"/>
      <c r="Y137" s="263"/>
      <c r="Z137" s="263"/>
      <c r="AA137" s="263"/>
      <c r="AB137" s="263"/>
      <c r="AC137" s="263"/>
      <c r="AD137" s="263"/>
      <c r="AE137" s="263"/>
      <c r="AF137" s="263"/>
      <c r="AG137" s="263"/>
      <c r="AH137" s="263"/>
      <c r="AI137" s="263"/>
      <c r="AJ137" s="263"/>
      <c r="AK137" s="263"/>
    </row>
    <row r="138">
      <c r="L138" s="262"/>
      <c r="Q138" s="262"/>
      <c r="R138" s="262"/>
      <c r="S138" s="262"/>
      <c r="T138" s="262"/>
      <c r="U138" s="262"/>
      <c r="V138" s="262"/>
      <c r="W138" s="263"/>
      <c r="X138" s="263"/>
      <c r="Y138" s="263"/>
      <c r="Z138" s="263"/>
      <c r="AA138" s="263"/>
      <c r="AB138" s="263"/>
      <c r="AC138" s="263"/>
      <c r="AD138" s="263"/>
      <c r="AE138" s="263"/>
      <c r="AF138" s="263"/>
      <c r="AG138" s="263"/>
      <c r="AH138" s="263"/>
      <c r="AI138" s="263"/>
      <c r="AJ138" s="263"/>
      <c r="AK138" s="263"/>
    </row>
    <row r="139">
      <c r="L139" s="262"/>
      <c r="Q139" s="262"/>
      <c r="R139" s="262"/>
      <c r="S139" s="262"/>
      <c r="T139" s="262"/>
      <c r="U139" s="262"/>
      <c r="V139" s="262"/>
      <c r="W139" s="263"/>
      <c r="X139" s="263"/>
      <c r="Y139" s="263"/>
      <c r="Z139" s="263"/>
      <c r="AA139" s="263"/>
      <c r="AB139" s="263"/>
      <c r="AC139" s="263"/>
      <c r="AD139" s="263"/>
      <c r="AE139" s="263"/>
      <c r="AF139" s="263"/>
      <c r="AG139" s="263"/>
      <c r="AH139" s="263"/>
      <c r="AI139" s="263"/>
      <c r="AJ139" s="263"/>
      <c r="AK139" s="263"/>
    </row>
    <row r="140">
      <c r="L140" s="262"/>
      <c r="Q140" s="262"/>
      <c r="R140" s="262"/>
      <c r="S140" s="262"/>
      <c r="T140" s="262"/>
      <c r="U140" s="262"/>
      <c r="V140" s="262"/>
      <c r="W140" s="263"/>
      <c r="X140" s="263"/>
      <c r="Y140" s="263"/>
      <c r="Z140" s="263"/>
      <c r="AA140" s="263"/>
      <c r="AB140" s="263"/>
      <c r="AC140" s="263"/>
      <c r="AD140" s="263"/>
      <c r="AE140" s="263"/>
      <c r="AF140" s="263"/>
      <c r="AG140" s="263"/>
      <c r="AH140" s="263"/>
      <c r="AI140" s="263"/>
      <c r="AJ140" s="263"/>
      <c r="AK140" s="263"/>
    </row>
    <row r="141">
      <c r="L141" s="262"/>
      <c r="Q141" s="262"/>
      <c r="R141" s="262"/>
      <c r="S141" s="262"/>
      <c r="T141" s="262"/>
      <c r="U141" s="262"/>
      <c r="V141" s="262"/>
      <c r="W141" s="263"/>
      <c r="X141" s="263"/>
      <c r="Y141" s="263"/>
      <c r="Z141" s="263"/>
      <c r="AA141" s="263"/>
      <c r="AB141" s="263"/>
      <c r="AC141" s="263"/>
      <c r="AD141" s="263"/>
      <c r="AE141" s="263"/>
      <c r="AF141" s="263"/>
      <c r="AG141" s="263"/>
      <c r="AH141" s="263"/>
      <c r="AI141" s="263"/>
      <c r="AJ141" s="263"/>
      <c r="AK141" s="263"/>
    </row>
    <row r="142">
      <c r="L142" s="262"/>
      <c r="Q142" s="262"/>
      <c r="R142" s="262"/>
      <c r="S142" s="262"/>
      <c r="T142" s="262"/>
      <c r="U142" s="262"/>
      <c r="V142" s="262"/>
      <c r="W142" s="263"/>
      <c r="X142" s="263"/>
      <c r="Y142" s="263"/>
      <c r="Z142" s="263"/>
      <c r="AA142" s="263"/>
      <c r="AB142" s="263"/>
      <c r="AC142" s="263"/>
      <c r="AD142" s="263"/>
      <c r="AE142" s="263"/>
      <c r="AF142" s="263"/>
      <c r="AG142" s="263"/>
      <c r="AH142" s="263"/>
      <c r="AI142" s="263"/>
      <c r="AJ142" s="263"/>
      <c r="AK142" s="263"/>
    </row>
    <row r="143">
      <c r="L143" s="262"/>
      <c r="Q143" s="262"/>
      <c r="R143" s="262"/>
      <c r="S143" s="262"/>
      <c r="T143" s="262"/>
      <c r="U143" s="262"/>
      <c r="V143" s="262"/>
      <c r="W143" s="263"/>
      <c r="X143" s="263"/>
      <c r="Y143" s="263"/>
      <c r="Z143" s="263"/>
      <c r="AA143" s="263"/>
      <c r="AB143" s="263"/>
      <c r="AC143" s="263"/>
      <c r="AD143" s="263"/>
      <c r="AE143" s="263"/>
      <c r="AF143" s="263"/>
      <c r="AG143" s="263"/>
      <c r="AH143" s="263"/>
      <c r="AI143" s="263"/>
      <c r="AJ143" s="263"/>
      <c r="AK143" s="263"/>
    </row>
    <row r="144">
      <c r="L144" s="262"/>
      <c r="Q144" s="262"/>
      <c r="R144" s="262"/>
      <c r="S144" s="262"/>
      <c r="T144" s="262"/>
      <c r="U144" s="262"/>
      <c r="V144" s="262"/>
      <c r="W144" s="263"/>
      <c r="X144" s="263"/>
      <c r="Y144" s="263"/>
      <c r="Z144" s="263"/>
      <c r="AA144" s="263"/>
      <c r="AB144" s="263"/>
      <c r="AC144" s="263"/>
      <c r="AD144" s="263"/>
      <c r="AE144" s="263"/>
      <c r="AF144" s="263"/>
      <c r="AG144" s="263"/>
      <c r="AH144" s="263"/>
      <c r="AI144" s="263"/>
      <c r="AJ144" s="263"/>
      <c r="AK144" s="263"/>
    </row>
    <row r="145">
      <c r="L145" s="262"/>
      <c r="Q145" s="262"/>
      <c r="R145" s="262"/>
      <c r="S145" s="262"/>
      <c r="T145" s="262"/>
      <c r="U145" s="262"/>
      <c r="V145" s="262"/>
      <c r="W145" s="263"/>
      <c r="X145" s="263"/>
      <c r="Y145" s="263"/>
      <c r="Z145" s="263"/>
      <c r="AA145" s="263"/>
      <c r="AB145" s="263"/>
      <c r="AC145" s="263"/>
      <c r="AD145" s="263"/>
      <c r="AE145" s="263"/>
      <c r="AF145" s="263"/>
      <c r="AG145" s="263"/>
      <c r="AH145" s="263"/>
      <c r="AI145" s="263"/>
      <c r="AJ145" s="263"/>
      <c r="AK145" s="263"/>
    </row>
    <row r="146">
      <c r="L146" s="262"/>
      <c r="Q146" s="262"/>
      <c r="R146" s="262"/>
      <c r="S146" s="262"/>
      <c r="T146" s="262"/>
      <c r="U146" s="262"/>
      <c r="V146" s="262"/>
      <c r="W146" s="263"/>
      <c r="X146" s="263"/>
      <c r="Y146" s="263"/>
      <c r="Z146" s="263"/>
      <c r="AA146" s="263"/>
      <c r="AB146" s="263"/>
      <c r="AC146" s="263"/>
      <c r="AD146" s="263"/>
      <c r="AE146" s="263"/>
      <c r="AF146" s="263"/>
      <c r="AG146" s="263"/>
      <c r="AH146" s="263"/>
      <c r="AI146" s="263"/>
      <c r="AJ146" s="263"/>
      <c r="AK146" s="263"/>
    </row>
    <row r="147">
      <c r="L147" s="262"/>
      <c r="Q147" s="262"/>
      <c r="R147" s="262"/>
      <c r="S147" s="262"/>
      <c r="T147" s="262"/>
      <c r="U147" s="262"/>
      <c r="V147" s="262"/>
      <c r="W147" s="263"/>
      <c r="X147" s="263"/>
      <c r="Y147" s="263"/>
      <c r="Z147" s="263"/>
      <c r="AA147" s="263"/>
      <c r="AB147" s="263"/>
      <c r="AC147" s="263"/>
      <c r="AD147" s="263"/>
      <c r="AE147" s="263"/>
      <c r="AF147" s="263"/>
      <c r="AG147" s="263"/>
      <c r="AH147" s="263"/>
      <c r="AI147" s="263"/>
      <c r="AJ147" s="263"/>
      <c r="AK147" s="263"/>
    </row>
    <row r="148">
      <c r="L148" s="262"/>
      <c r="Q148" s="262"/>
      <c r="R148" s="262"/>
      <c r="S148" s="262"/>
      <c r="T148" s="262"/>
      <c r="U148" s="262"/>
      <c r="V148" s="262"/>
      <c r="W148" s="263"/>
      <c r="X148" s="263"/>
      <c r="Y148" s="263"/>
      <c r="Z148" s="263"/>
      <c r="AA148" s="263"/>
      <c r="AB148" s="263"/>
      <c r="AC148" s="263"/>
      <c r="AD148" s="263"/>
      <c r="AE148" s="263"/>
      <c r="AF148" s="263"/>
      <c r="AG148" s="263"/>
      <c r="AH148" s="263"/>
      <c r="AI148" s="263"/>
      <c r="AJ148" s="263"/>
      <c r="AK148" s="263"/>
    </row>
    <row r="149">
      <c r="L149" s="262"/>
      <c r="Q149" s="262"/>
      <c r="R149" s="262"/>
      <c r="S149" s="262"/>
      <c r="T149" s="262"/>
      <c r="U149" s="262"/>
      <c r="V149" s="262"/>
      <c r="W149" s="263"/>
      <c r="X149" s="263"/>
      <c r="Y149" s="263"/>
      <c r="Z149" s="263"/>
      <c r="AA149" s="263"/>
      <c r="AB149" s="263"/>
      <c r="AC149" s="263"/>
      <c r="AD149" s="263"/>
      <c r="AE149" s="263"/>
      <c r="AF149" s="263"/>
      <c r="AG149" s="263"/>
      <c r="AH149" s="263"/>
      <c r="AI149" s="263"/>
      <c r="AJ149" s="263"/>
      <c r="AK149" s="263"/>
    </row>
    <row r="150">
      <c r="L150" s="262"/>
      <c r="Q150" s="262"/>
      <c r="R150" s="262"/>
      <c r="S150" s="262"/>
      <c r="T150" s="262"/>
      <c r="U150" s="262"/>
      <c r="V150" s="262"/>
      <c r="W150" s="263"/>
      <c r="X150" s="263"/>
      <c r="Y150" s="263"/>
      <c r="Z150" s="263"/>
      <c r="AA150" s="263"/>
      <c r="AB150" s="263"/>
      <c r="AC150" s="263"/>
      <c r="AD150" s="263"/>
      <c r="AE150" s="263"/>
      <c r="AF150" s="263"/>
      <c r="AG150" s="263"/>
      <c r="AH150" s="263"/>
      <c r="AI150" s="263"/>
      <c r="AJ150" s="263"/>
      <c r="AK150" s="263"/>
    </row>
    <row r="151">
      <c r="L151" s="262"/>
      <c r="Q151" s="262"/>
      <c r="R151" s="262"/>
      <c r="S151" s="262"/>
      <c r="T151" s="262"/>
      <c r="U151" s="262"/>
      <c r="V151" s="262"/>
      <c r="W151" s="263"/>
      <c r="X151" s="263"/>
      <c r="Y151" s="263"/>
      <c r="Z151" s="263"/>
      <c r="AA151" s="263"/>
      <c r="AB151" s="263"/>
      <c r="AC151" s="263"/>
      <c r="AD151" s="263"/>
      <c r="AE151" s="263"/>
      <c r="AF151" s="263"/>
      <c r="AG151" s="263"/>
      <c r="AH151" s="263"/>
      <c r="AI151" s="263"/>
      <c r="AJ151" s="263"/>
      <c r="AK151" s="263"/>
    </row>
    <row r="152">
      <c r="L152" s="262"/>
      <c r="Q152" s="262"/>
      <c r="R152" s="262"/>
      <c r="S152" s="262"/>
      <c r="T152" s="262"/>
      <c r="U152" s="262"/>
      <c r="V152" s="262"/>
      <c r="W152" s="263"/>
      <c r="X152" s="263"/>
      <c r="Y152" s="263"/>
      <c r="Z152" s="263"/>
      <c r="AA152" s="263"/>
      <c r="AB152" s="263"/>
      <c r="AC152" s="263"/>
      <c r="AD152" s="263"/>
      <c r="AE152" s="263"/>
      <c r="AF152" s="263"/>
      <c r="AG152" s="263"/>
      <c r="AH152" s="263"/>
      <c r="AI152" s="263"/>
      <c r="AJ152" s="263"/>
      <c r="AK152" s="263"/>
    </row>
    <row r="153">
      <c r="L153" s="262"/>
      <c r="Q153" s="262"/>
      <c r="R153" s="262"/>
      <c r="S153" s="262"/>
      <c r="T153" s="262"/>
      <c r="U153" s="262"/>
      <c r="V153" s="262"/>
      <c r="W153" s="263"/>
      <c r="X153" s="263"/>
      <c r="Y153" s="263"/>
      <c r="Z153" s="263"/>
      <c r="AA153" s="263"/>
      <c r="AB153" s="263"/>
      <c r="AC153" s="263"/>
      <c r="AD153" s="263"/>
      <c r="AE153" s="263"/>
      <c r="AF153" s="263"/>
      <c r="AG153" s="263"/>
      <c r="AH153" s="263"/>
      <c r="AI153" s="263"/>
      <c r="AJ153" s="263"/>
      <c r="AK153" s="263"/>
    </row>
    <row r="154">
      <c r="L154" s="262"/>
      <c r="Q154" s="262"/>
      <c r="R154" s="262"/>
      <c r="S154" s="262"/>
      <c r="T154" s="262"/>
      <c r="U154" s="262"/>
      <c r="V154" s="262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3"/>
      <c r="AG154" s="263"/>
      <c r="AH154" s="263"/>
      <c r="AI154" s="263"/>
      <c r="AJ154" s="263"/>
      <c r="AK154" s="263"/>
    </row>
    <row r="155">
      <c r="L155" s="262"/>
      <c r="Q155" s="262"/>
      <c r="R155" s="262"/>
      <c r="S155" s="262"/>
      <c r="T155" s="262"/>
      <c r="U155" s="262"/>
      <c r="V155" s="262"/>
      <c r="W155" s="263"/>
      <c r="X155" s="263"/>
      <c r="Y155" s="263"/>
      <c r="Z155" s="263"/>
      <c r="AA155" s="263"/>
      <c r="AB155" s="263"/>
      <c r="AC155" s="263"/>
      <c r="AD155" s="263"/>
      <c r="AE155" s="263"/>
      <c r="AF155" s="263"/>
      <c r="AG155" s="263"/>
      <c r="AH155" s="263"/>
      <c r="AI155" s="263"/>
      <c r="AJ155" s="263"/>
      <c r="AK155" s="263"/>
    </row>
    <row r="156">
      <c r="L156" s="262"/>
      <c r="Q156" s="262"/>
      <c r="R156" s="262"/>
      <c r="S156" s="262"/>
      <c r="T156" s="262"/>
      <c r="U156" s="262"/>
      <c r="V156" s="262"/>
      <c r="W156" s="263"/>
      <c r="X156" s="263"/>
      <c r="Y156" s="263"/>
      <c r="Z156" s="263"/>
      <c r="AA156" s="263"/>
      <c r="AB156" s="263"/>
      <c r="AC156" s="263"/>
      <c r="AD156" s="263"/>
      <c r="AE156" s="263"/>
      <c r="AF156" s="263"/>
      <c r="AG156" s="263"/>
      <c r="AH156" s="263"/>
      <c r="AI156" s="263"/>
      <c r="AJ156" s="263"/>
      <c r="AK156" s="263"/>
    </row>
    <row r="157">
      <c r="L157" s="262"/>
      <c r="Q157" s="262"/>
      <c r="R157" s="262"/>
      <c r="S157" s="262"/>
      <c r="T157" s="262"/>
      <c r="U157" s="262"/>
      <c r="V157" s="262"/>
      <c r="W157" s="263"/>
      <c r="X157" s="263"/>
      <c r="Y157" s="263"/>
      <c r="Z157" s="263"/>
      <c r="AA157" s="263"/>
      <c r="AB157" s="263"/>
      <c r="AC157" s="263"/>
      <c r="AD157" s="263"/>
      <c r="AE157" s="263"/>
      <c r="AF157" s="263"/>
      <c r="AG157" s="263"/>
      <c r="AH157" s="263"/>
      <c r="AI157" s="263"/>
      <c r="AJ157" s="263"/>
      <c r="AK157" s="263"/>
    </row>
    <row r="158">
      <c r="L158" s="262"/>
      <c r="Q158" s="262"/>
      <c r="R158" s="262"/>
      <c r="S158" s="262"/>
      <c r="T158" s="262"/>
      <c r="U158" s="262"/>
      <c r="V158" s="262"/>
      <c r="W158" s="263"/>
      <c r="X158" s="263"/>
      <c r="Y158" s="263"/>
      <c r="Z158" s="263"/>
      <c r="AA158" s="263"/>
      <c r="AB158" s="263"/>
      <c r="AC158" s="263"/>
      <c r="AD158" s="263"/>
      <c r="AE158" s="263"/>
      <c r="AF158" s="263"/>
      <c r="AG158" s="263"/>
      <c r="AH158" s="263"/>
      <c r="AI158" s="263"/>
      <c r="AJ158" s="263"/>
      <c r="AK158" s="263"/>
    </row>
    <row r="159">
      <c r="L159" s="262"/>
      <c r="Q159" s="262"/>
      <c r="R159" s="262"/>
      <c r="S159" s="262"/>
      <c r="T159" s="262"/>
      <c r="U159" s="262"/>
      <c r="V159" s="262"/>
      <c r="W159" s="263"/>
      <c r="X159" s="263"/>
      <c r="Y159" s="263"/>
      <c r="Z159" s="263"/>
      <c r="AA159" s="263"/>
      <c r="AB159" s="263"/>
      <c r="AC159" s="263"/>
      <c r="AD159" s="263"/>
      <c r="AE159" s="263"/>
      <c r="AF159" s="263"/>
      <c r="AG159" s="263"/>
      <c r="AH159" s="263"/>
      <c r="AI159" s="263"/>
      <c r="AJ159" s="263"/>
      <c r="AK159" s="263"/>
    </row>
    <row r="160">
      <c r="L160" s="262"/>
      <c r="Q160" s="262"/>
      <c r="R160" s="262"/>
      <c r="S160" s="262"/>
      <c r="T160" s="262"/>
      <c r="U160" s="262"/>
      <c r="V160" s="262"/>
      <c r="W160" s="263"/>
      <c r="X160" s="263"/>
      <c r="Y160" s="263"/>
      <c r="Z160" s="263"/>
      <c r="AA160" s="263"/>
      <c r="AB160" s="263"/>
      <c r="AC160" s="263"/>
      <c r="AD160" s="263"/>
      <c r="AE160" s="263"/>
      <c r="AF160" s="263"/>
      <c r="AG160" s="263"/>
      <c r="AH160" s="263"/>
      <c r="AI160" s="263"/>
      <c r="AJ160" s="263"/>
      <c r="AK160" s="263"/>
    </row>
    <row r="161">
      <c r="L161" s="262"/>
      <c r="Q161" s="262"/>
      <c r="R161" s="262"/>
      <c r="S161" s="262"/>
      <c r="T161" s="262"/>
      <c r="U161" s="262"/>
      <c r="V161" s="262"/>
      <c r="W161" s="263"/>
      <c r="X161" s="263"/>
      <c r="Y161" s="263"/>
      <c r="Z161" s="263"/>
      <c r="AA161" s="263"/>
      <c r="AB161" s="263"/>
      <c r="AC161" s="263"/>
      <c r="AD161" s="263"/>
      <c r="AE161" s="263"/>
      <c r="AF161" s="263"/>
      <c r="AG161" s="263"/>
      <c r="AH161" s="263"/>
      <c r="AI161" s="263"/>
      <c r="AJ161" s="263"/>
      <c r="AK161" s="263"/>
    </row>
    <row r="162">
      <c r="L162" s="262"/>
      <c r="Q162" s="262"/>
      <c r="R162" s="262"/>
      <c r="S162" s="262"/>
      <c r="T162" s="262"/>
      <c r="U162" s="262"/>
      <c r="V162" s="262"/>
      <c r="W162" s="263"/>
      <c r="X162" s="263"/>
      <c r="Y162" s="263"/>
      <c r="Z162" s="263"/>
      <c r="AA162" s="263"/>
      <c r="AB162" s="263"/>
      <c r="AC162" s="263"/>
      <c r="AD162" s="263"/>
      <c r="AE162" s="263"/>
      <c r="AF162" s="263"/>
      <c r="AG162" s="263"/>
      <c r="AH162" s="263"/>
      <c r="AI162" s="263"/>
      <c r="AJ162" s="263"/>
      <c r="AK162" s="263"/>
    </row>
    <row r="163">
      <c r="L163" s="262"/>
      <c r="Q163" s="262"/>
      <c r="R163" s="262"/>
      <c r="S163" s="262"/>
      <c r="T163" s="262"/>
      <c r="U163" s="262"/>
      <c r="V163" s="262"/>
      <c r="W163" s="263"/>
      <c r="X163" s="263"/>
      <c r="Y163" s="263"/>
      <c r="Z163" s="263"/>
      <c r="AA163" s="263"/>
      <c r="AB163" s="263"/>
      <c r="AC163" s="263"/>
      <c r="AD163" s="263"/>
      <c r="AE163" s="263"/>
      <c r="AF163" s="263"/>
      <c r="AG163" s="263"/>
      <c r="AH163" s="263"/>
      <c r="AI163" s="263"/>
      <c r="AJ163" s="263"/>
      <c r="AK163" s="263"/>
    </row>
    <row r="164">
      <c r="L164" s="262"/>
      <c r="Q164" s="262"/>
      <c r="R164" s="262"/>
      <c r="S164" s="262"/>
      <c r="T164" s="262"/>
      <c r="U164" s="262"/>
      <c r="V164" s="262"/>
      <c r="W164" s="263"/>
      <c r="X164" s="263"/>
      <c r="Y164" s="263"/>
      <c r="Z164" s="263"/>
      <c r="AA164" s="263"/>
      <c r="AB164" s="263"/>
      <c r="AC164" s="263"/>
      <c r="AD164" s="263"/>
      <c r="AE164" s="263"/>
      <c r="AF164" s="263"/>
      <c r="AG164" s="263"/>
      <c r="AH164" s="263"/>
      <c r="AI164" s="263"/>
      <c r="AJ164" s="263"/>
      <c r="AK164" s="263"/>
    </row>
    <row r="165">
      <c r="L165" s="262"/>
      <c r="Q165" s="262"/>
      <c r="R165" s="262"/>
      <c r="S165" s="262"/>
      <c r="T165" s="262"/>
      <c r="U165" s="262"/>
      <c r="V165" s="262"/>
      <c r="W165" s="263"/>
      <c r="X165" s="263"/>
      <c r="Y165" s="263"/>
      <c r="Z165" s="263"/>
      <c r="AA165" s="263"/>
      <c r="AB165" s="263"/>
      <c r="AC165" s="263"/>
      <c r="AD165" s="263"/>
      <c r="AE165" s="263"/>
      <c r="AF165" s="263"/>
      <c r="AG165" s="263"/>
      <c r="AH165" s="263"/>
      <c r="AI165" s="263"/>
      <c r="AJ165" s="263"/>
      <c r="AK165" s="263"/>
    </row>
    <row r="166">
      <c r="L166" s="262"/>
      <c r="Q166" s="262"/>
      <c r="R166" s="262"/>
      <c r="S166" s="262"/>
      <c r="T166" s="262"/>
      <c r="U166" s="262"/>
      <c r="V166" s="262"/>
      <c r="W166" s="263"/>
      <c r="X166" s="263"/>
      <c r="Y166" s="263"/>
      <c r="Z166" s="263"/>
      <c r="AA166" s="263"/>
      <c r="AB166" s="263"/>
      <c r="AC166" s="263"/>
      <c r="AD166" s="263"/>
      <c r="AE166" s="263"/>
      <c r="AF166" s="263"/>
      <c r="AG166" s="263"/>
      <c r="AH166" s="263"/>
      <c r="AI166" s="263"/>
      <c r="AJ166" s="263"/>
      <c r="AK166" s="263"/>
    </row>
    <row r="167">
      <c r="L167" s="262"/>
      <c r="Q167" s="262"/>
      <c r="R167" s="262"/>
      <c r="S167" s="262"/>
      <c r="T167" s="262"/>
      <c r="U167" s="262"/>
      <c r="V167" s="262"/>
      <c r="W167" s="263"/>
      <c r="X167" s="263"/>
      <c r="Y167" s="263"/>
      <c r="Z167" s="263"/>
      <c r="AA167" s="263"/>
      <c r="AB167" s="263"/>
      <c r="AC167" s="263"/>
      <c r="AD167" s="263"/>
      <c r="AE167" s="263"/>
      <c r="AF167" s="263"/>
      <c r="AG167" s="263"/>
      <c r="AH167" s="263"/>
      <c r="AI167" s="263"/>
      <c r="AJ167" s="263"/>
      <c r="AK167" s="263"/>
    </row>
    <row r="168">
      <c r="L168" s="262"/>
      <c r="Q168" s="262"/>
      <c r="R168" s="262"/>
      <c r="S168" s="262"/>
      <c r="T168" s="262"/>
      <c r="U168" s="262"/>
      <c r="V168" s="262"/>
      <c r="W168" s="263"/>
      <c r="X168" s="263"/>
      <c r="Y168" s="263"/>
      <c r="Z168" s="263"/>
      <c r="AA168" s="263"/>
      <c r="AB168" s="263"/>
      <c r="AC168" s="263"/>
      <c r="AD168" s="263"/>
      <c r="AE168" s="263"/>
      <c r="AF168" s="263"/>
      <c r="AG168" s="263"/>
      <c r="AH168" s="263"/>
      <c r="AI168" s="263"/>
      <c r="AJ168" s="263"/>
      <c r="AK168" s="263"/>
    </row>
    <row r="169">
      <c r="L169" s="262"/>
      <c r="Q169" s="262"/>
      <c r="R169" s="262"/>
      <c r="S169" s="262"/>
      <c r="T169" s="262"/>
      <c r="U169" s="262"/>
      <c r="V169" s="262"/>
      <c r="W169" s="263"/>
      <c r="X169" s="263"/>
      <c r="Y169" s="263"/>
      <c r="Z169" s="263"/>
      <c r="AA169" s="263"/>
      <c r="AB169" s="263"/>
      <c r="AC169" s="263"/>
      <c r="AD169" s="263"/>
      <c r="AE169" s="263"/>
      <c r="AF169" s="263"/>
      <c r="AG169" s="263"/>
      <c r="AH169" s="263"/>
      <c r="AI169" s="263"/>
      <c r="AJ169" s="263"/>
      <c r="AK169" s="263"/>
    </row>
    <row r="170">
      <c r="L170" s="262"/>
      <c r="Q170" s="262"/>
      <c r="R170" s="262"/>
      <c r="S170" s="262"/>
      <c r="T170" s="262"/>
      <c r="U170" s="262"/>
      <c r="V170" s="262"/>
      <c r="W170" s="263"/>
      <c r="X170" s="263"/>
      <c r="Y170" s="263"/>
      <c r="Z170" s="263"/>
      <c r="AA170" s="263"/>
      <c r="AB170" s="263"/>
      <c r="AC170" s="263"/>
      <c r="AD170" s="263"/>
      <c r="AE170" s="263"/>
      <c r="AF170" s="263"/>
      <c r="AG170" s="263"/>
      <c r="AH170" s="263"/>
      <c r="AI170" s="263"/>
      <c r="AJ170" s="263"/>
      <c r="AK170" s="263"/>
    </row>
    <row r="171">
      <c r="L171" s="262"/>
      <c r="Q171" s="262"/>
      <c r="R171" s="262"/>
      <c r="S171" s="262"/>
      <c r="T171" s="262"/>
      <c r="U171" s="262"/>
      <c r="V171" s="262"/>
      <c r="W171" s="263"/>
      <c r="X171" s="263"/>
      <c r="Y171" s="263"/>
      <c r="Z171" s="263"/>
      <c r="AA171" s="263"/>
      <c r="AB171" s="263"/>
      <c r="AC171" s="263"/>
      <c r="AD171" s="263"/>
      <c r="AE171" s="263"/>
      <c r="AF171" s="263"/>
      <c r="AG171" s="263"/>
      <c r="AH171" s="263"/>
      <c r="AI171" s="263"/>
      <c r="AJ171" s="263"/>
      <c r="AK171" s="263"/>
    </row>
    <row r="172">
      <c r="L172" s="262"/>
      <c r="Q172" s="262"/>
      <c r="R172" s="262"/>
      <c r="S172" s="262"/>
      <c r="T172" s="262"/>
      <c r="U172" s="262"/>
      <c r="V172" s="262"/>
      <c r="W172" s="263"/>
      <c r="X172" s="263"/>
      <c r="Y172" s="263"/>
      <c r="Z172" s="263"/>
      <c r="AA172" s="263"/>
      <c r="AB172" s="263"/>
      <c r="AC172" s="263"/>
      <c r="AD172" s="263"/>
      <c r="AE172" s="263"/>
      <c r="AF172" s="263"/>
      <c r="AG172" s="263"/>
      <c r="AH172" s="263"/>
      <c r="AI172" s="263"/>
      <c r="AJ172" s="263"/>
      <c r="AK172" s="263"/>
    </row>
    <row r="173">
      <c r="L173" s="262"/>
      <c r="Q173" s="262"/>
      <c r="R173" s="262"/>
      <c r="S173" s="262"/>
      <c r="T173" s="262"/>
      <c r="U173" s="262"/>
      <c r="V173" s="262"/>
      <c r="W173" s="263"/>
      <c r="X173" s="263"/>
      <c r="Y173" s="263"/>
      <c r="Z173" s="263"/>
      <c r="AA173" s="263"/>
      <c r="AB173" s="263"/>
      <c r="AC173" s="263"/>
      <c r="AD173" s="263"/>
      <c r="AE173" s="263"/>
      <c r="AF173" s="263"/>
      <c r="AG173" s="263"/>
      <c r="AH173" s="263"/>
      <c r="AI173" s="263"/>
      <c r="AJ173" s="263"/>
      <c r="AK173" s="263"/>
    </row>
    <row r="174">
      <c r="L174" s="262"/>
      <c r="Q174" s="262"/>
      <c r="R174" s="262"/>
      <c r="S174" s="262"/>
      <c r="T174" s="262"/>
      <c r="U174" s="262"/>
      <c r="V174" s="262"/>
      <c r="W174" s="263"/>
      <c r="X174" s="263"/>
      <c r="Y174" s="263"/>
      <c r="Z174" s="263"/>
      <c r="AA174" s="263"/>
      <c r="AB174" s="263"/>
      <c r="AC174" s="263"/>
      <c r="AD174" s="263"/>
      <c r="AE174" s="263"/>
      <c r="AF174" s="263"/>
      <c r="AG174" s="263"/>
      <c r="AH174" s="263"/>
      <c r="AI174" s="263"/>
      <c r="AJ174" s="263"/>
      <c r="AK174" s="263"/>
    </row>
    <row r="175">
      <c r="L175" s="262"/>
      <c r="Q175" s="262"/>
      <c r="R175" s="262"/>
      <c r="S175" s="262"/>
      <c r="T175" s="262"/>
      <c r="U175" s="262"/>
      <c r="V175" s="262"/>
      <c r="W175" s="263"/>
      <c r="X175" s="263"/>
      <c r="Y175" s="263"/>
      <c r="Z175" s="263"/>
      <c r="AA175" s="263"/>
      <c r="AB175" s="263"/>
      <c r="AC175" s="263"/>
      <c r="AD175" s="263"/>
      <c r="AE175" s="263"/>
      <c r="AF175" s="263"/>
      <c r="AG175" s="263"/>
      <c r="AH175" s="263"/>
      <c r="AI175" s="263"/>
      <c r="AJ175" s="263"/>
      <c r="AK175" s="263"/>
    </row>
    <row r="176">
      <c r="L176" s="262"/>
      <c r="Q176" s="262"/>
      <c r="R176" s="262"/>
      <c r="S176" s="262"/>
      <c r="T176" s="262"/>
      <c r="U176" s="262"/>
      <c r="V176" s="262"/>
      <c r="W176" s="263"/>
      <c r="X176" s="263"/>
      <c r="Y176" s="263"/>
      <c r="Z176" s="263"/>
      <c r="AA176" s="263"/>
      <c r="AB176" s="263"/>
      <c r="AC176" s="263"/>
      <c r="AD176" s="263"/>
      <c r="AE176" s="263"/>
      <c r="AF176" s="263"/>
      <c r="AG176" s="263"/>
      <c r="AH176" s="263"/>
      <c r="AI176" s="263"/>
      <c r="AJ176" s="263"/>
      <c r="AK176" s="263"/>
    </row>
    <row r="177">
      <c r="L177" s="262"/>
      <c r="Q177" s="262"/>
      <c r="R177" s="262"/>
      <c r="S177" s="262"/>
      <c r="T177" s="262"/>
      <c r="U177" s="262"/>
      <c r="V177" s="262"/>
      <c r="W177" s="263"/>
      <c r="X177" s="263"/>
      <c r="Y177" s="263"/>
      <c r="Z177" s="263"/>
      <c r="AA177" s="263"/>
      <c r="AB177" s="263"/>
      <c r="AC177" s="263"/>
      <c r="AD177" s="263"/>
      <c r="AE177" s="263"/>
      <c r="AF177" s="263"/>
      <c r="AG177" s="263"/>
      <c r="AH177" s="263"/>
      <c r="AI177" s="263"/>
      <c r="AJ177" s="263"/>
      <c r="AK177" s="263"/>
    </row>
    <row r="178">
      <c r="L178" s="262"/>
      <c r="Q178" s="262"/>
      <c r="R178" s="262"/>
      <c r="S178" s="262"/>
      <c r="T178" s="262"/>
      <c r="U178" s="262"/>
      <c r="V178" s="262"/>
      <c r="W178" s="263"/>
      <c r="X178" s="263"/>
      <c r="Y178" s="263"/>
      <c r="Z178" s="263"/>
      <c r="AA178" s="263"/>
      <c r="AB178" s="263"/>
      <c r="AC178" s="263"/>
      <c r="AD178" s="263"/>
      <c r="AE178" s="263"/>
      <c r="AF178" s="263"/>
      <c r="AG178" s="263"/>
      <c r="AH178" s="263"/>
      <c r="AI178" s="263"/>
      <c r="AJ178" s="263"/>
      <c r="AK178" s="263"/>
    </row>
    <row r="179">
      <c r="L179" s="262"/>
      <c r="Q179" s="262"/>
      <c r="R179" s="262"/>
      <c r="S179" s="262"/>
      <c r="T179" s="262"/>
      <c r="U179" s="262"/>
      <c r="V179" s="262"/>
      <c r="W179" s="263"/>
      <c r="X179" s="263"/>
      <c r="Y179" s="263"/>
      <c r="Z179" s="263"/>
      <c r="AA179" s="263"/>
      <c r="AB179" s="263"/>
      <c r="AC179" s="263"/>
      <c r="AD179" s="263"/>
      <c r="AE179" s="263"/>
      <c r="AF179" s="263"/>
      <c r="AG179" s="263"/>
      <c r="AH179" s="263"/>
      <c r="AI179" s="263"/>
      <c r="AJ179" s="263"/>
      <c r="AK179" s="263"/>
    </row>
    <row r="180">
      <c r="L180" s="262"/>
      <c r="Q180" s="262"/>
      <c r="R180" s="262"/>
      <c r="S180" s="262"/>
      <c r="T180" s="262"/>
      <c r="U180" s="262"/>
      <c r="V180" s="262"/>
      <c r="W180" s="263"/>
      <c r="X180" s="263"/>
      <c r="Y180" s="263"/>
      <c r="Z180" s="263"/>
      <c r="AA180" s="263"/>
      <c r="AB180" s="263"/>
      <c r="AC180" s="263"/>
      <c r="AD180" s="263"/>
      <c r="AE180" s="263"/>
      <c r="AF180" s="263"/>
      <c r="AG180" s="263"/>
      <c r="AH180" s="263"/>
      <c r="AI180" s="263"/>
      <c r="AJ180" s="263"/>
      <c r="AK180" s="263"/>
    </row>
    <row r="181">
      <c r="L181" s="262"/>
      <c r="Q181" s="262"/>
      <c r="R181" s="262"/>
      <c r="S181" s="262"/>
      <c r="T181" s="262"/>
      <c r="U181" s="262"/>
      <c r="V181" s="262"/>
      <c r="W181" s="263"/>
      <c r="X181" s="263"/>
      <c r="Y181" s="263"/>
      <c r="Z181" s="263"/>
      <c r="AA181" s="263"/>
      <c r="AB181" s="263"/>
      <c r="AC181" s="263"/>
      <c r="AD181" s="263"/>
      <c r="AE181" s="263"/>
      <c r="AF181" s="263"/>
      <c r="AG181" s="263"/>
      <c r="AH181" s="263"/>
      <c r="AI181" s="263"/>
      <c r="AJ181" s="263"/>
      <c r="AK181" s="263"/>
    </row>
    <row r="182">
      <c r="L182" s="262"/>
      <c r="Q182" s="262"/>
      <c r="R182" s="262"/>
      <c r="S182" s="262"/>
      <c r="T182" s="262"/>
      <c r="U182" s="262"/>
      <c r="V182" s="262"/>
      <c r="W182" s="263"/>
      <c r="X182" s="263"/>
      <c r="Y182" s="263"/>
      <c r="Z182" s="263"/>
      <c r="AA182" s="263"/>
      <c r="AB182" s="263"/>
      <c r="AC182" s="263"/>
      <c r="AD182" s="263"/>
      <c r="AE182" s="263"/>
      <c r="AF182" s="263"/>
      <c r="AG182" s="263"/>
      <c r="AH182" s="263"/>
      <c r="AI182" s="263"/>
      <c r="AJ182" s="263"/>
      <c r="AK182" s="263"/>
    </row>
    <row r="183">
      <c r="L183" s="262"/>
      <c r="Q183" s="262"/>
      <c r="R183" s="262"/>
      <c r="S183" s="262"/>
      <c r="T183" s="262"/>
      <c r="U183" s="262"/>
      <c r="V183" s="262"/>
      <c r="W183" s="263"/>
      <c r="X183" s="263"/>
      <c r="Y183" s="263"/>
      <c r="Z183" s="263"/>
      <c r="AA183" s="263"/>
      <c r="AB183" s="263"/>
      <c r="AC183" s="263"/>
      <c r="AD183" s="263"/>
      <c r="AE183" s="263"/>
      <c r="AF183" s="263"/>
      <c r="AG183" s="263"/>
      <c r="AH183" s="263"/>
      <c r="AI183" s="263"/>
      <c r="AJ183" s="263"/>
      <c r="AK183" s="263"/>
    </row>
    <row r="184">
      <c r="L184" s="262"/>
      <c r="Q184" s="262"/>
      <c r="R184" s="262"/>
      <c r="S184" s="262"/>
      <c r="T184" s="262"/>
      <c r="U184" s="262"/>
      <c r="V184" s="262"/>
      <c r="W184" s="263"/>
      <c r="X184" s="263"/>
      <c r="Y184" s="263"/>
      <c r="Z184" s="263"/>
      <c r="AA184" s="263"/>
      <c r="AB184" s="263"/>
      <c r="AC184" s="263"/>
      <c r="AD184" s="263"/>
      <c r="AE184" s="263"/>
      <c r="AF184" s="263"/>
      <c r="AG184" s="263"/>
      <c r="AH184" s="263"/>
      <c r="AI184" s="263"/>
      <c r="AJ184" s="263"/>
      <c r="AK184" s="263"/>
    </row>
    <row r="185">
      <c r="L185" s="262"/>
      <c r="Q185" s="262"/>
      <c r="R185" s="262"/>
      <c r="S185" s="262"/>
      <c r="T185" s="262"/>
      <c r="U185" s="262"/>
      <c r="V185" s="262"/>
      <c r="W185" s="263"/>
      <c r="X185" s="263"/>
      <c r="Y185" s="263"/>
      <c r="Z185" s="263"/>
      <c r="AA185" s="263"/>
      <c r="AB185" s="263"/>
      <c r="AC185" s="263"/>
      <c r="AD185" s="263"/>
      <c r="AE185" s="263"/>
      <c r="AF185" s="263"/>
      <c r="AG185" s="263"/>
      <c r="AH185" s="263"/>
      <c r="AI185" s="263"/>
      <c r="AJ185" s="263"/>
      <c r="AK185" s="263"/>
    </row>
    <row r="186">
      <c r="L186" s="262"/>
      <c r="Q186" s="262"/>
      <c r="R186" s="262"/>
      <c r="S186" s="262"/>
      <c r="T186" s="262"/>
      <c r="U186" s="262"/>
      <c r="V186" s="262"/>
      <c r="W186" s="263"/>
      <c r="X186" s="263"/>
      <c r="Y186" s="263"/>
      <c r="Z186" s="263"/>
      <c r="AA186" s="263"/>
      <c r="AB186" s="263"/>
      <c r="AC186" s="263"/>
      <c r="AD186" s="263"/>
      <c r="AE186" s="263"/>
      <c r="AF186" s="263"/>
      <c r="AG186" s="263"/>
      <c r="AH186" s="263"/>
      <c r="AI186" s="263"/>
      <c r="AJ186" s="263"/>
      <c r="AK186" s="263"/>
    </row>
    <row r="187">
      <c r="L187" s="262"/>
      <c r="Q187" s="262"/>
      <c r="R187" s="262"/>
      <c r="S187" s="262"/>
      <c r="T187" s="262"/>
      <c r="U187" s="262"/>
      <c r="V187" s="262"/>
      <c r="W187" s="263"/>
      <c r="X187" s="263"/>
      <c r="Y187" s="263"/>
      <c r="Z187" s="263"/>
      <c r="AA187" s="263"/>
      <c r="AB187" s="263"/>
      <c r="AC187" s="263"/>
      <c r="AD187" s="263"/>
      <c r="AE187" s="263"/>
      <c r="AF187" s="263"/>
      <c r="AG187" s="263"/>
      <c r="AH187" s="263"/>
      <c r="AI187" s="263"/>
      <c r="AJ187" s="263"/>
      <c r="AK187" s="263"/>
    </row>
    <row r="188">
      <c r="L188" s="262"/>
      <c r="Q188" s="262"/>
      <c r="R188" s="262"/>
      <c r="S188" s="262"/>
      <c r="T188" s="262"/>
      <c r="U188" s="262"/>
      <c r="V188" s="262"/>
      <c r="W188" s="263"/>
      <c r="X188" s="263"/>
      <c r="Y188" s="263"/>
      <c r="Z188" s="263"/>
      <c r="AA188" s="263"/>
      <c r="AB188" s="263"/>
      <c r="AC188" s="263"/>
      <c r="AD188" s="263"/>
      <c r="AE188" s="263"/>
      <c r="AF188" s="263"/>
      <c r="AG188" s="263"/>
      <c r="AH188" s="263"/>
      <c r="AI188" s="263"/>
      <c r="AJ188" s="263"/>
      <c r="AK188" s="263"/>
    </row>
    <row r="189">
      <c r="L189" s="262"/>
      <c r="Q189" s="262"/>
      <c r="R189" s="262"/>
      <c r="S189" s="262"/>
      <c r="T189" s="262"/>
      <c r="U189" s="262"/>
      <c r="V189" s="262"/>
      <c r="W189" s="263"/>
      <c r="X189" s="263"/>
      <c r="Y189" s="263"/>
      <c r="Z189" s="263"/>
      <c r="AA189" s="263"/>
      <c r="AB189" s="263"/>
      <c r="AC189" s="263"/>
      <c r="AD189" s="263"/>
      <c r="AE189" s="263"/>
      <c r="AF189" s="263"/>
      <c r="AG189" s="263"/>
      <c r="AH189" s="263"/>
      <c r="AI189" s="263"/>
      <c r="AJ189" s="263"/>
      <c r="AK189" s="263"/>
    </row>
    <row r="190">
      <c r="L190" s="262"/>
      <c r="Q190" s="262"/>
      <c r="R190" s="262"/>
      <c r="S190" s="262"/>
      <c r="T190" s="262"/>
      <c r="U190" s="262"/>
      <c r="V190" s="262"/>
      <c r="W190" s="263"/>
      <c r="X190" s="263"/>
      <c r="Y190" s="263"/>
      <c r="Z190" s="263"/>
      <c r="AA190" s="263"/>
      <c r="AB190" s="263"/>
      <c r="AC190" s="263"/>
      <c r="AD190" s="263"/>
      <c r="AE190" s="263"/>
      <c r="AF190" s="263"/>
      <c r="AG190" s="263"/>
      <c r="AH190" s="263"/>
      <c r="AI190" s="263"/>
      <c r="AJ190" s="263"/>
      <c r="AK190" s="263"/>
    </row>
    <row r="191">
      <c r="L191" s="262"/>
      <c r="Q191" s="262"/>
      <c r="R191" s="262"/>
      <c r="S191" s="262"/>
      <c r="T191" s="262"/>
      <c r="U191" s="262"/>
      <c r="V191" s="262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63"/>
      <c r="AH191" s="263"/>
      <c r="AI191" s="263"/>
      <c r="AJ191" s="263"/>
      <c r="AK191" s="263"/>
    </row>
    <row r="192">
      <c r="L192" s="262"/>
      <c r="Q192" s="262"/>
      <c r="R192" s="262"/>
      <c r="S192" s="262"/>
      <c r="T192" s="262"/>
      <c r="U192" s="262"/>
      <c r="V192" s="262"/>
      <c r="W192" s="263"/>
      <c r="X192" s="263"/>
      <c r="Y192" s="263"/>
      <c r="Z192" s="263"/>
      <c r="AA192" s="263"/>
      <c r="AB192" s="263"/>
      <c r="AC192" s="263"/>
      <c r="AD192" s="263"/>
      <c r="AE192" s="263"/>
      <c r="AF192" s="263"/>
      <c r="AG192" s="263"/>
      <c r="AH192" s="263"/>
      <c r="AI192" s="263"/>
      <c r="AJ192" s="263"/>
      <c r="AK192" s="263"/>
    </row>
    <row r="193">
      <c r="L193" s="262"/>
      <c r="Q193" s="262"/>
      <c r="R193" s="262"/>
      <c r="S193" s="262"/>
      <c r="T193" s="262"/>
      <c r="U193" s="262"/>
      <c r="V193" s="262"/>
      <c r="W193" s="263"/>
      <c r="X193" s="263"/>
      <c r="Y193" s="263"/>
      <c r="Z193" s="263"/>
      <c r="AA193" s="263"/>
      <c r="AB193" s="263"/>
      <c r="AC193" s="263"/>
      <c r="AD193" s="263"/>
      <c r="AE193" s="263"/>
      <c r="AF193" s="263"/>
      <c r="AG193" s="263"/>
      <c r="AH193" s="263"/>
      <c r="AI193" s="263"/>
      <c r="AJ193" s="263"/>
      <c r="AK193" s="263"/>
    </row>
    <row r="194">
      <c r="L194" s="262"/>
      <c r="Q194" s="262"/>
      <c r="R194" s="262"/>
      <c r="S194" s="262"/>
      <c r="T194" s="262"/>
      <c r="U194" s="262"/>
      <c r="V194" s="262"/>
      <c r="W194" s="263"/>
      <c r="X194" s="263"/>
      <c r="Y194" s="263"/>
      <c r="Z194" s="263"/>
      <c r="AA194" s="263"/>
      <c r="AB194" s="263"/>
      <c r="AC194" s="263"/>
      <c r="AD194" s="263"/>
      <c r="AE194" s="263"/>
      <c r="AF194" s="263"/>
      <c r="AG194" s="263"/>
      <c r="AH194" s="263"/>
      <c r="AI194" s="263"/>
      <c r="AJ194" s="263"/>
      <c r="AK194" s="263"/>
    </row>
    <row r="195">
      <c r="L195" s="262"/>
      <c r="Q195" s="262"/>
      <c r="R195" s="262"/>
      <c r="S195" s="262"/>
      <c r="T195" s="262"/>
      <c r="U195" s="262"/>
      <c r="V195" s="262"/>
      <c r="W195" s="263"/>
      <c r="X195" s="263"/>
      <c r="Y195" s="263"/>
      <c r="Z195" s="263"/>
      <c r="AA195" s="263"/>
      <c r="AB195" s="263"/>
      <c r="AC195" s="263"/>
      <c r="AD195" s="263"/>
      <c r="AE195" s="263"/>
      <c r="AF195" s="263"/>
      <c r="AG195" s="263"/>
      <c r="AH195" s="263"/>
      <c r="AI195" s="263"/>
      <c r="AJ195" s="263"/>
      <c r="AK195" s="263"/>
    </row>
    <row r="196">
      <c r="L196" s="262"/>
      <c r="Q196" s="262"/>
      <c r="R196" s="262"/>
      <c r="S196" s="262"/>
      <c r="T196" s="262"/>
      <c r="U196" s="262"/>
      <c r="V196" s="262"/>
      <c r="W196" s="263"/>
      <c r="X196" s="263"/>
      <c r="Y196" s="263"/>
      <c r="Z196" s="263"/>
      <c r="AA196" s="263"/>
      <c r="AB196" s="263"/>
      <c r="AC196" s="263"/>
      <c r="AD196" s="263"/>
      <c r="AE196" s="263"/>
      <c r="AF196" s="263"/>
      <c r="AG196" s="263"/>
      <c r="AH196" s="263"/>
      <c r="AI196" s="263"/>
      <c r="AJ196" s="263"/>
      <c r="AK196" s="263"/>
    </row>
    <row r="197">
      <c r="L197" s="262"/>
      <c r="Q197" s="262"/>
      <c r="R197" s="262"/>
      <c r="S197" s="262"/>
      <c r="T197" s="262"/>
      <c r="U197" s="262"/>
      <c r="V197" s="262"/>
      <c r="W197" s="263"/>
      <c r="X197" s="263"/>
      <c r="Y197" s="263"/>
      <c r="Z197" s="263"/>
      <c r="AA197" s="263"/>
      <c r="AB197" s="263"/>
      <c r="AC197" s="263"/>
      <c r="AD197" s="263"/>
      <c r="AE197" s="263"/>
      <c r="AF197" s="263"/>
      <c r="AG197" s="263"/>
      <c r="AH197" s="263"/>
      <c r="AI197" s="263"/>
      <c r="AJ197" s="263"/>
      <c r="AK197" s="263"/>
    </row>
    <row r="198">
      <c r="L198" s="262"/>
      <c r="Q198" s="262"/>
      <c r="R198" s="262"/>
      <c r="S198" s="262"/>
      <c r="T198" s="262"/>
      <c r="U198" s="262"/>
      <c r="V198" s="262"/>
      <c r="W198" s="263"/>
      <c r="X198" s="263"/>
      <c r="Y198" s="263"/>
      <c r="Z198" s="263"/>
      <c r="AA198" s="263"/>
      <c r="AB198" s="263"/>
      <c r="AC198" s="263"/>
      <c r="AD198" s="263"/>
      <c r="AE198" s="263"/>
      <c r="AF198" s="263"/>
      <c r="AG198" s="263"/>
      <c r="AH198" s="263"/>
      <c r="AI198" s="263"/>
      <c r="AJ198" s="263"/>
      <c r="AK198" s="263"/>
    </row>
    <row r="199">
      <c r="L199" s="262"/>
      <c r="Q199" s="262"/>
      <c r="R199" s="262"/>
      <c r="S199" s="262"/>
      <c r="T199" s="262"/>
      <c r="U199" s="262"/>
      <c r="V199" s="262"/>
      <c r="W199" s="263"/>
      <c r="X199" s="263"/>
      <c r="Y199" s="263"/>
      <c r="Z199" s="263"/>
      <c r="AA199" s="263"/>
      <c r="AB199" s="263"/>
      <c r="AC199" s="263"/>
      <c r="AD199" s="263"/>
      <c r="AE199" s="263"/>
      <c r="AF199" s="263"/>
      <c r="AG199" s="263"/>
      <c r="AH199" s="263"/>
      <c r="AI199" s="263"/>
      <c r="AJ199" s="263"/>
      <c r="AK199" s="263"/>
    </row>
    <row r="200">
      <c r="L200" s="262"/>
      <c r="Q200" s="262"/>
      <c r="R200" s="262"/>
      <c r="S200" s="262"/>
      <c r="T200" s="262"/>
      <c r="U200" s="262"/>
      <c r="V200" s="262"/>
      <c r="W200" s="263"/>
      <c r="X200" s="263"/>
      <c r="Y200" s="263"/>
      <c r="Z200" s="263"/>
      <c r="AA200" s="263"/>
      <c r="AB200" s="263"/>
      <c r="AC200" s="263"/>
      <c r="AD200" s="263"/>
      <c r="AE200" s="263"/>
      <c r="AF200" s="263"/>
      <c r="AG200" s="263"/>
      <c r="AH200" s="263"/>
      <c r="AI200" s="263"/>
      <c r="AJ200" s="263"/>
      <c r="AK200" s="263"/>
    </row>
    <row r="201">
      <c r="L201" s="262"/>
      <c r="Q201" s="262"/>
      <c r="R201" s="262"/>
      <c r="S201" s="262"/>
      <c r="T201" s="262"/>
      <c r="U201" s="262"/>
      <c r="V201" s="262"/>
      <c r="W201" s="263"/>
      <c r="X201" s="263"/>
      <c r="Y201" s="263"/>
      <c r="Z201" s="263"/>
      <c r="AA201" s="263"/>
      <c r="AB201" s="263"/>
      <c r="AC201" s="263"/>
      <c r="AD201" s="263"/>
      <c r="AE201" s="263"/>
      <c r="AF201" s="263"/>
      <c r="AG201" s="263"/>
      <c r="AH201" s="263"/>
      <c r="AI201" s="263"/>
      <c r="AJ201" s="263"/>
      <c r="AK201" s="263"/>
    </row>
    <row r="202">
      <c r="L202" s="262"/>
      <c r="Q202" s="262"/>
      <c r="R202" s="262"/>
      <c r="S202" s="262"/>
      <c r="T202" s="262"/>
      <c r="U202" s="262"/>
      <c r="V202" s="262"/>
      <c r="W202" s="263"/>
      <c r="X202" s="263"/>
      <c r="Y202" s="263"/>
      <c r="Z202" s="263"/>
      <c r="AA202" s="263"/>
      <c r="AB202" s="263"/>
      <c r="AC202" s="263"/>
      <c r="AD202" s="263"/>
      <c r="AE202" s="263"/>
      <c r="AF202" s="263"/>
      <c r="AG202" s="263"/>
      <c r="AH202" s="263"/>
      <c r="AI202" s="263"/>
      <c r="AJ202" s="263"/>
      <c r="AK202" s="263"/>
    </row>
    <row r="203">
      <c r="L203" s="262"/>
      <c r="Q203" s="262"/>
      <c r="R203" s="262"/>
      <c r="S203" s="262"/>
      <c r="T203" s="262"/>
      <c r="U203" s="262"/>
      <c r="V203" s="262"/>
      <c r="W203" s="263"/>
      <c r="X203" s="263"/>
      <c r="Y203" s="263"/>
      <c r="Z203" s="263"/>
      <c r="AA203" s="263"/>
      <c r="AB203" s="263"/>
      <c r="AC203" s="263"/>
      <c r="AD203" s="263"/>
      <c r="AE203" s="263"/>
      <c r="AF203" s="263"/>
      <c r="AG203" s="263"/>
      <c r="AH203" s="263"/>
      <c r="AI203" s="263"/>
      <c r="AJ203" s="263"/>
      <c r="AK203" s="263"/>
    </row>
    <row r="204">
      <c r="L204" s="262"/>
      <c r="Q204" s="262"/>
      <c r="R204" s="262"/>
      <c r="S204" s="262"/>
      <c r="T204" s="262"/>
      <c r="U204" s="262"/>
      <c r="V204" s="262"/>
      <c r="W204" s="263"/>
      <c r="X204" s="263"/>
      <c r="Y204" s="263"/>
      <c r="Z204" s="263"/>
      <c r="AA204" s="263"/>
      <c r="AB204" s="263"/>
      <c r="AC204" s="263"/>
      <c r="AD204" s="263"/>
      <c r="AE204" s="263"/>
      <c r="AF204" s="263"/>
      <c r="AG204" s="263"/>
      <c r="AH204" s="263"/>
      <c r="AI204" s="263"/>
      <c r="AJ204" s="263"/>
      <c r="AK204" s="263"/>
    </row>
    <row r="205">
      <c r="L205" s="262"/>
      <c r="Q205" s="262"/>
      <c r="R205" s="262"/>
      <c r="S205" s="262"/>
      <c r="T205" s="262"/>
      <c r="U205" s="262"/>
      <c r="V205" s="262"/>
      <c r="W205" s="263"/>
      <c r="X205" s="263"/>
      <c r="Y205" s="263"/>
      <c r="Z205" s="263"/>
      <c r="AA205" s="263"/>
      <c r="AB205" s="263"/>
      <c r="AC205" s="263"/>
      <c r="AD205" s="263"/>
      <c r="AE205" s="263"/>
      <c r="AF205" s="263"/>
      <c r="AG205" s="263"/>
      <c r="AH205" s="263"/>
      <c r="AI205" s="263"/>
      <c r="AJ205" s="263"/>
      <c r="AK205" s="263"/>
    </row>
    <row r="206">
      <c r="L206" s="262"/>
      <c r="Q206" s="262"/>
      <c r="R206" s="262"/>
      <c r="S206" s="262"/>
      <c r="T206" s="262"/>
      <c r="U206" s="262"/>
      <c r="V206" s="262"/>
      <c r="W206" s="263"/>
      <c r="X206" s="263"/>
      <c r="Y206" s="263"/>
      <c r="Z206" s="263"/>
      <c r="AA206" s="263"/>
      <c r="AB206" s="263"/>
      <c r="AC206" s="263"/>
      <c r="AD206" s="263"/>
      <c r="AE206" s="263"/>
      <c r="AF206" s="263"/>
      <c r="AG206" s="263"/>
      <c r="AH206" s="263"/>
      <c r="AI206" s="263"/>
      <c r="AJ206" s="263"/>
      <c r="AK206" s="263"/>
    </row>
    <row r="207">
      <c r="L207" s="262"/>
      <c r="Q207" s="262"/>
      <c r="R207" s="262"/>
      <c r="S207" s="262"/>
      <c r="T207" s="262"/>
      <c r="U207" s="262"/>
      <c r="V207" s="262"/>
      <c r="W207" s="263"/>
      <c r="X207" s="263"/>
      <c r="Y207" s="263"/>
      <c r="Z207" s="263"/>
      <c r="AA207" s="263"/>
      <c r="AB207" s="263"/>
      <c r="AC207" s="263"/>
      <c r="AD207" s="263"/>
      <c r="AE207" s="263"/>
      <c r="AF207" s="263"/>
      <c r="AG207" s="263"/>
      <c r="AH207" s="263"/>
      <c r="AI207" s="263"/>
      <c r="AJ207" s="263"/>
      <c r="AK207" s="263"/>
    </row>
    <row r="208">
      <c r="L208" s="262"/>
      <c r="Q208" s="262"/>
      <c r="R208" s="262"/>
      <c r="S208" s="262"/>
      <c r="T208" s="262"/>
      <c r="U208" s="262"/>
      <c r="V208" s="262"/>
      <c r="W208" s="263"/>
      <c r="X208" s="263"/>
      <c r="Y208" s="263"/>
      <c r="Z208" s="263"/>
      <c r="AA208" s="263"/>
      <c r="AB208" s="263"/>
      <c r="AC208" s="263"/>
      <c r="AD208" s="263"/>
      <c r="AE208" s="263"/>
      <c r="AF208" s="263"/>
      <c r="AG208" s="263"/>
      <c r="AH208" s="263"/>
      <c r="AI208" s="263"/>
      <c r="AJ208" s="263"/>
      <c r="AK208" s="263"/>
    </row>
    <row r="209">
      <c r="L209" s="262"/>
      <c r="Q209" s="262"/>
      <c r="R209" s="262"/>
      <c r="S209" s="262"/>
      <c r="T209" s="262"/>
      <c r="U209" s="262"/>
      <c r="V209" s="262"/>
      <c r="W209" s="263"/>
      <c r="X209" s="263"/>
      <c r="Y209" s="263"/>
      <c r="Z209" s="263"/>
      <c r="AA209" s="263"/>
      <c r="AB209" s="263"/>
      <c r="AC209" s="263"/>
      <c r="AD209" s="263"/>
      <c r="AE209" s="263"/>
      <c r="AF209" s="263"/>
      <c r="AG209" s="263"/>
      <c r="AH209" s="263"/>
      <c r="AI209" s="263"/>
      <c r="AJ209" s="263"/>
      <c r="AK209" s="263"/>
    </row>
    <row r="210">
      <c r="L210" s="262"/>
      <c r="Q210" s="262"/>
      <c r="R210" s="262"/>
      <c r="S210" s="262"/>
      <c r="T210" s="262"/>
      <c r="U210" s="262"/>
      <c r="V210" s="262"/>
      <c r="W210" s="263"/>
      <c r="X210" s="263"/>
      <c r="Y210" s="263"/>
      <c r="Z210" s="263"/>
      <c r="AA210" s="263"/>
      <c r="AB210" s="263"/>
      <c r="AC210" s="263"/>
      <c r="AD210" s="263"/>
      <c r="AE210" s="263"/>
      <c r="AF210" s="263"/>
      <c r="AG210" s="263"/>
      <c r="AH210" s="263"/>
      <c r="AI210" s="263"/>
      <c r="AJ210" s="263"/>
      <c r="AK210" s="263"/>
    </row>
    <row r="211">
      <c r="L211" s="262"/>
      <c r="Q211" s="262"/>
      <c r="R211" s="262"/>
      <c r="S211" s="262"/>
      <c r="T211" s="262"/>
      <c r="U211" s="262"/>
      <c r="V211" s="262"/>
      <c r="W211" s="263"/>
      <c r="X211" s="263"/>
      <c r="Y211" s="263"/>
      <c r="Z211" s="263"/>
      <c r="AA211" s="263"/>
      <c r="AB211" s="263"/>
      <c r="AC211" s="263"/>
      <c r="AD211" s="263"/>
      <c r="AE211" s="263"/>
      <c r="AF211" s="263"/>
      <c r="AG211" s="263"/>
      <c r="AH211" s="263"/>
      <c r="AI211" s="263"/>
      <c r="AJ211" s="263"/>
      <c r="AK211" s="263"/>
    </row>
    <row r="212">
      <c r="L212" s="262"/>
      <c r="Q212" s="262"/>
      <c r="R212" s="262"/>
      <c r="S212" s="262"/>
      <c r="T212" s="262"/>
      <c r="U212" s="262"/>
      <c r="V212" s="262"/>
      <c r="W212" s="263"/>
      <c r="X212" s="263"/>
      <c r="Y212" s="263"/>
      <c r="Z212" s="263"/>
      <c r="AA212" s="263"/>
      <c r="AB212" s="263"/>
      <c r="AC212" s="263"/>
      <c r="AD212" s="263"/>
      <c r="AE212" s="263"/>
      <c r="AF212" s="263"/>
      <c r="AG212" s="263"/>
      <c r="AH212" s="263"/>
      <c r="AI212" s="263"/>
      <c r="AJ212" s="263"/>
      <c r="AK212" s="263"/>
    </row>
    <row r="213">
      <c r="L213" s="262"/>
      <c r="Q213" s="262"/>
      <c r="R213" s="262"/>
      <c r="S213" s="262"/>
      <c r="T213" s="262"/>
      <c r="U213" s="262"/>
      <c r="V213" s="262"/>
      <c r="W213" s="263"/>
      <c r="X213" s="263"/>
      <c r="Y213" s="263"/>
      <c r="Z213" s="263"/>
      <c r="AA213" s="263"/>
      <c r="AB213" s="263"/>
      <c r="AC213" s="263"/>
      <c r="AD213" s="263"/>
      <c r="AE213" s="263"/>
      <c r="AF213" s="263"/>
      <c r="AG213" s="263"/>
      <c r="AH213" s="263"/>
      <c r="AI213" s="263"/>
      <c r="AJ213" s="263"/>
      <c r="AK213" s="263"/>
    </row>
    <row r="214">
      <c r="L214" s="262"/>
      <c r="Q214" s="262"/>
      <c r="R214" s="262"/>
      <c r="S214" s="262"/>
      <c r="T214" s="262"/>
      <c r="U214" s="262"/>
      <c r="V214" s="262"/>
      <c r="W214" s="263"/>
      <c r="X214" s="263"/>
      <c r="Y214" s="263"/>
      <c r="Z214" s="263"/>
      <c r="AA214" s="263"/>
      <c r="AB214" s="263"/>
      <c r="AC214" s="263"/>
      <c r="AD214" s="263"/>
      <c r="AE214" s="263"/>
      <c r="AF214" s="263"/>
      <c r="AG214" s="263"/>
      <c r="AH214" s="263"/>
      <c r="AI214" s="263"/>
      <c r="AJ214" s="263"/>
      <c r="AK214" s="263"/>
    </row>
    <row r="215">
      <c r="L215" s="262"/>
      <c r="Q215" s="262"/>
      <c r="R215" s="262"/>
      <c r="S215" s="262"/>
      <c r="T215" s="262"/>
      <c r="U215" s="262"/>
      <c r="V215" s="262"/>
      <c r="W215" s="263"/>
      <c r="X215" s="263"/>
      <c r="Y215" s="263"/>
      <c r="Z215" s="263"/>
      <c r="AA215" s="263"/>
      <c r="AB215" s="263"/>
      <c r="AC215" s="263"/>
      <c r="AD215" s="263"/>
      <c r="AE215" s="263"/>
      <c r="AF215" s="263"/>
      <c r="AG215" s="263"/>
      <c r="AH215" s="263"/>
      <c r="AI215" s="263"/>
      <c r="AJ215" s="263"/>
      <c r="AK215" s="263"/>
    </row>
    <row r="216">
      <c r="L216" s="262"/>
      <c r="Q216" s="262"/>
      <c r="R216" s="262"/>
      <c r="S216" s="262"/>
      <c r="T216" s="262"/>
      <c r="U216" s="262"/>
      <c r="V216" s="262"/>
      <c r="W216" s="263"/>
      <c r="X216" s="263"/>
      <c r="Y216" s="263"/>
      <c r="Z216" s="263"/>
      <c r="AA216" s="263"/>
      <c r="AB216" s="263"/>
      <c r="AC216" s="263"/>
      <c r="AD216" s="263"/>
      <c r="AE216" s="263"/>
      <c r="AF216" s="263"/>
      <c r="AG216" s="263"/>
      <c r="AH216" s="263"/>
      <c r="AI216" s="263"/>
      <c r="AJ216" s="263"/>
      <c r="AK216" s="263"/>
    </row>
    <row r="217">
      <c r="L217" s="262"/>
      <c r="Q217" s="262"/>
      <c r="R217" s="262"/>
      <c r="S217" s="262"/>
      <c r="T217" s="262"/>
      <c r="U217" s="262"/>
      <c r="V217" s="262"/>
      <c r="W217" s="263"/>
      <c r="X217" s="263"/>
      <c r="Y217" s="263"/>
      <c r="Z217" s="263"/>
      <c r="AA217" s="263"/>
      <c r="AB217" s="263"/>
      <c r="AC217" s="263"/>
      <c r="AD217" s="263"/>
      <c r="AE217" s="263"/>
      <c r="AF217" s="263"/>
      <c r="AG217" s="263"/>
      <c r="AH217" s="263"/>
      <c r="AI217" s="263"/>
      <c r="AJ217" s="263"/>
      <c r="AK217" s="263"/>
    </row>
    <row r="218">
      <c r="L218" s="262"/>
      <c r="Q218" s="262"/>
      <c r="R218" s="262"/>
      <c r="S218" s="262"/>
      <c r="T218" s="262"/>
      <c r="U218" s="262"/>
      <c r="V218" s="262"/>
      <c r="W218" s="263"/>
      <c r="X218" s="263"/>
      <c r="Y218" s="263"/>
      <c r="Z218" s="263"/>
      <c r="AA218" s="263"/>
      <c r="AB218" s="263"/>
      <c r="AC218" s="263"/>
      <c r="AD218" s="263"/>
      <c r="AE218" s="263"/>
      <c r="AF218" s="263"/>
      <c r="AG218" s="263"/>
      <c r="AH218" s="263"/>
      <c r="AI218" s="263"/>
      <c r="AJ218" s="263"/>
      <c r="AK218" s="263"/>
    </row>
    <row r="219">
      <c r="L219" s="262"/>
      <c r="Q219" s="262"/>
      <c r="R219" s="262"/>
      <c r="S219" s="262"/>
      <c r="T219" s="262"/>
      <c r="U219" s="262"/>
      <c r="V219" s="262"/>
      <c r="W219" s="263"/>
      <c r="X219" s="263"/>
      <c r="Y219" s="263"/>
      <c r="Z219" s="263"/>
      <c r="AA219" s="263"/>
      <c r="AB219" s="263"/>
      <c r="AC219" s="263"/>
      <c r="AD219" s="263"/>
      <c r="AE219" s="263"/>
      <c r="AF219" s="263"/>
      <c r="AG219" s="263"/>
      <c r="AH219" s="263"/>
      <c r="AI219" s="263"/>
      <c r="AJ219" s="263"/>
      <c r="AK219" s="263"/>
    </row>
    <row r="220">
      <c r="L220" s="262"/>
      <c r="Q220" s="262"/>
      <c r="R220" s="262"/>
      <c r="S220" s="262"/>
      <c r="T220" s="262"/>
      <c r="U220" s="262"/>
      <c r="V220" s="262"/>
      <c r="W220" s="263"/>
      <c r="X220" s="263"/>
      <c r="Y220" s="263"/>
      <c r="Z220" s="263"/>
      <c r="AA220" s="263"/>
      <c r="AB220" s="263"/>
      <c r="AC220" s="263"/>
      <c r="AD220" s="263"/>
      <c r="AE220" s="263"/>
      <c r="AF220" s="263"/>
      <c r="AG220" s="263"/>
      <c r="AH220" s="263"/>
      <c r="AI220" s="263"/>
      <c r="AJ220" s="263"/>
      <c r="AK220" s="263"/>
    </row>
    <row r="221">
      <c r="L221" s="262"/>
      <c r="Q221" s="262"/>
      <c r="R221" s="262"/>
      <c r="S221" s="262"/>
      <c r="T221" s="262"/>
      <c r="U221" s="262"/>
      <c r="V221" s="262"/>
      <c r="W221" s="263"/>
      <c r="X221" s="263"/>
      <c r="Y221" s="263"/>
      <c r="Z221" s="263"/>
      <c r="AA221" s="263"/>
      <c r="AB221" s="263"/>
      <c r="AC221" s="263"/>
      <c r="AD221" s="263"/>
      <c r="AE221" s="263"/>
      <c r="AF221" s="263"/>
      <c r="AG221" s="263"/>
      <c r="AH221" s="263"/>
      <c r="AI221" s="263"/>
      <c r="AJ221" s="263"/>
      <c r="AK221" s="263"/>
    </row>
    <row r="222">
      <c r="L222" s="262"/>
      <c r="Q222" s="262"/>
      <c r="R222" s="262"/>
      <c r="S222" s="262"/>
      <c r="T222" s="262"/>
      <c r="U222" s="262"/>
      <c r="V222" s="262"/>
      <c r="W222" s="263"/>
      <c r="X222" s="263"/>
      <c r="Y222" s="263"/>
      <c r="Z222" s="263"/>
      <c r="AA222" s="263"/>
      <c r="AB222" s="263"/>
      <c r="AC222" s="263"/>
      <c r="AD222" s="263"/>
      <c r="AE222" s="263"/>
      <c r="AF222" s="263"/>
      <c r="AG222" s="263"/>
      <c r="AH222" s="263"/>
      <c r="AI222" s="263"/>
      <c r="AJ222" s="263"/>
      <c r="AK222" s="263"/>
    </row>
    <row r="223">
      <c r="L223" s="262"/>
      <c r="Q223" s="262"/>
      <c r="R223" s="262"/>
      <c r="S223" s="262"/>
      <c r="T223" s="262"/>
      <c r="U223" s="262"/>
      <c r="V223" s="262"/>
      <c r="W223" s="263"/>
      <c r="X223" s="263"/>
      <c r="Y223" s="263"/>
      <c r="Z223" s="263"/>
      <c r="AA223" s="263"/>
      <c r="AB223" s="263"/>
      <c r="AC223" s="263"/>
      <c r="AD223" s="263"/>
      <c r="AE223" s="263"/>
      <c r="AF223" s="263"/>
      <c r="AG223" s="263"/>
      <c r="AH223" s="263"/>
      <c r="AI223" s="263"/>
      <c r="AJ223" s="263"/>
      <c r="AK223" s="263"/>
    </row>
    <row r="224">
      <c r="L224" s="262"/>
      <c r="Q224" s="262"/>
      <c r="R224" s="262"/>
      <c r="S224" s="262"/>
      <c r="T224" s="262"/>
      <c r="U224" s="262"/>
      <c r="V224" s="262"/>
      <c r="W224" s="263"/>
      <c r="X224" s="263"/>
      <c r="Y224" s="263"/>
      <c r="Z224" s="263"/>
      <c r="AA224" s="263"/>
      <c r="AB224" s="263"/>
      <c r="AC224" s="263"/>
      <c r="AD224" s="263"/>
      <c r="AE224" s="263"/>
      <c r="AF224" s="263"/>
      <c r="AG224" s="263"/>
      <c r="AH224" s="263"/>
      <c r="AI224" s="263"/>
      <c r="AJ224" s="263"/>
      <c r="AK224" s="263"/>
    </row>
    <row r="225">
      <c r="L225" s="262"/>
      <c r="Q225" s="262"/>
      <c r="R225" s="262"/>
      <c r="S225" s="262"/>
      <c r="T225" s="262"/>
      <c r="U225" s="262"/>
      <c r="V225" s="262"/>
      <c r="W225" s="263"/>
      <c r="X225" s="263"/>
      <c r="Y225" s="263"/>
      <c r="Z225" s="263"/>
      <c r="AA225" s="263"/>
      <c r="AB225" s="263"/>
      <c r="AC225" s="263"/>
      <c r="AD225" s="263"/>
      <c r="AE225" s="263"/>
      <c r="AF225" s="263"/>
      <c r="AG225" s="263"/>
      <c r="AH225" s="263"/>
      <c r="AI225" s="263"/>
      <c r="AJ225" s="263"/>
      <c r="AK225" s="263"/>
    </row>
    <row r="226">
      <c r="L226" s="262"/>
      <c r="Q226" s="262"/>
      <c r="R226" s="262"/>
      <c r="S226" s="262"/>
      <c r="T226" s="262"/>
      <c r="U226" s="262"/>
      <c r="V226" s="262"/>
      <c r="W226" s="263"/>
      <c r="X226" s="263"/>
      <c r="Y226" s="263"/>
      <c r="Z226" s="263"/>
      <c r="AA226" s="263"/>
      <c r="AB226" s="263"/>
      <c r="AC226" s="263"/>
      <c r="AD226" s="263"/>
      <c r="AE226" s="263"/>
      <c r="AF226" s="263"/>
      <c r="AG226" s="263"/>
      <c r="AH226" s="263"/>
      <c r="AI226" s="263"/>
      <c r="AJ226" s="263"/>
      <c r="AK226" s="263"/>
    </row>
    <row r="227">
      <c r="L227" s="262"/>
      <c r="Q227" s="262"/>
      <c r="R227" s="262"/>
      <c r="S227" s="262"/>
      <c r="T227" s="262"/>
      <c r="U227" s="262"/>
      <c r="V227" s="262"/>
      <c r="W227" s="263"/>
      <c r="X227" s="263"/>
      <c r="Y227" s="263"/>
      <c r="Z227" s="263"/>
      <c r="AA227" s="263"/>
      <c r="AB227" s="263"/>
      <c r="AC227" s="263"/>
      <c r="AD227" s="263"/>
      <c r="AE227" s="263"/>
      <c r="AF227" s="263"/>
      <c r="AG227" s="263"/>
      <c r="AH227" s="263"/>
      <c r="AI227" s="263"/>
      <c r="AJ227" s="263"/>
      <c r="AK227" s="263"/>
    </row>
    <row r="228">
      <c r="L228" s="262"/>
      <c r="Q228" s="262"/>
      <c r="R228" s="262"/>
      <c r="S228" s="262"/>
      <c r="T228" s="262"/>
      <c r="U228" s="262"/>
      <c r="V228" s="262"/>
      <c r="W228" s="263"/>
      <c r="X228" s="263"/>
      <c r="Y228" s="263"/>
      <c r="Z228" s="263"/>
      <c r="AA228" s="263"/>
      <c r="AB228" s="263"/>
      <c r="AC228" s="263"/>
      <c r="AD228" s="263"/>
      <c r="AE228" s="263"/>
      <c r="AF228" s="263"/>
      <c r="AG228" s="263"/>
      <c r="AH228" s="263"/>
      <c r="AI228" s="263"/>
      <c r="AJ228" s="263"/>
      <c r="AK228" s="263"/>
    </row>
    <row r="229">
      <c r="L229" s="262"/>
      <c r="Q229" s="262"/>
      <c r="R229" s="262"/>
      <c r="S229" s="262"/>
      <c r="T229" s="262"/>
      <c r="U229" s="262"/>
      <c r="V229" s="262"/>
      <c r="W229" s="263"/>
      <c r="X229" s="263"/>
      <c r="Y229" s="263"/>
      <c r="Z229" s="263"/>
      <c r="AA229" s="263"/>
      <c r="AB229" s="263"/>
      <c r="AC229" s="263"/>
      <c r="AD229" s="263"/>
      <c r="AE229" s="263"/>
      <c r="AF229" s="263"/>
      <c r="AG229" s="263"/>
      <c r="AH229" s="263"/>
      <c r="AI229" s="263"/>
      <c r="AJ229" s="263"/>
      <c r="AK229" s="263"/>
    </row>
    <row r="230">
      <c r="L230" s="262"/>
      <c r="Q230" s="262"/>
      <c r="R230" s="262"/>
      <c r="S230" s="262"/>
      <c r="T230" s="262"/>
      <c r="U230" s="262"/>
      <c r="V230" s="262"/>
      <c r="W230" s="263"/>
      <c r="X230" s="263"/>
      <c r="Y230" s="263"/>
      <c r="Z230" s="263"/>
      <c r="AA230" s="263"/>
      <c r="AB230" s="263"/>
      <c r="AC230" s="263"/>
      <c r="AD230" s="263"/>
      <c r="AE230" s="263"/>
      <c r="AF230" s="263"/>
      <c r="AG230" s="263"/>
      <c r="AH230" s="263"/>
      <c r="AI230" s="263"/>
      <c r="AJ230" s="263"/>
      <c r="AK230" s="263"/>
    </row>
    <row r="231">
      <c r="L231" s="262"/>
      <c r="Q231" s="262"/>
      <c r="R231" s="262"/>
      <c r="S231" s="262"/>
      <c r="T231" s="262"/>
      <c r="U231" s="262"/>
      <c r="V231" s="262"/>
      <c r="W231" s="263"/>
      <c r="X231" s="263"/>
      <c r="Y231" s="263"/>
      <c r="Z231" s="263"/>
      <c r="AA231" s="263"/>
      <c r="AB231" s="263"/>
      <c r="AC231" s="263"/>
      <c r="AD231" s="263"/>
      <c r="AE231" s="263"/>
      <c r="AF231" s="263"/>
      <c r="AG231" s="263"/>
      <c r="AH231" s="263"/>
      <c r="AI231" s="263"/>
      <c r="AJ231" s="263"/>
      <c r="AK231" s="263"/>
    </row>
    <row r="232">
      <c r="L232" s="262"/>
      <c r="Q232" s="262"/>
      <c r="R232" s="262"/>
      <c r="S232" s="262"/>
      <c r="T232" s="262"/>
      <c r="U232" s="262"/>
      <c r="V232" s="262"/>
      <c r="W232" s="263"/>
      <c r="X232" s="263"/>
      <c r="Y232" s="263"/>
      <c r="Z232" s="263"/>
      <c r="AA232" s="263"/>
      <c r="AB232" s="263"/>
      <c r="AC232" s="263"/>
      <c r="AD232" s="263"/>
      <c r="AE232" s="263"/>
      <c r="AF232" s="263"/>
      <c r="AG232" s="263"/>
      <c r="AH232" s="263"/>
      <c r="AI232" s="263"/>
      <c r="AJ232" s="263"/>
      <c r="AK232" s="263"/>
    </row>
    <row r="233">
      <c r="L233" s="262"/>
      <c r="Q233" s="262"/>
      <c r="R233" s="262"/>
      <c r="S233" s="262"/>
      <c r="T233" s="262"/>
      <c r="U233" s="262"/>
      <c r="V233" s="262"/>
      <c r="W233" s="263"/>
      <c r="X233" s="263"/>
      <c r="Y233" s="263"/>
      <c r="Z233" s="263"/>
      <c r="AA233" s="263"/>
      <c r="AB233" s="263"/>
      <c r="AC233" s="263"/>
      <c r="AD233" s="263"/>
      <c r="AE233" s="263"/>
      <c r="AF233" s="263"/>
      <c r="AG233" s="263"/>
      <c r="AH233" s="263"/>
      <c r="AI233" s="263"/>
      <c r="AJ233" s="263"/>
      <c r="AK233" s="263"/>
    </row>
    <row r="234">
      <c r="L234" s="262"/>
      <c r="Q234" s="262"/>
      <c r="R234" s="262"/>
      <c r="S234" s="262"/>
      <c r="T234" s="262"/>
      <c r="U234" s="262"/>
      <c r="V234" s="262"/>
      <c r="W234" s="263"/>
      <c r="X234" s="263"/>
      <c r="Y234" s="263"/>
      <c r="Z234" s="263"/>
      <c r="AA234" s="263"/>
      <c r="AB234" s="263"/>
      <c r="AC234" s="263"/>
      <c r="AD234" s="263"/>
      <c r="AE234" s="263"/>
      <c r="AF234" s="263"/>
      <c r="AG234" s="263"/>
      <c r="AH234" s="263"/>
      <c r="AI234" s="263"/>
      <c r="AJ234" s="263"/>
      <c r="AK234" s="263"/>
    </row>
    <row r="235">
      <c r="L235" s="262"/>
      <c r="Q235" s="262"/>
      <c r="R235" s="262"/>
      <c r="S235" s="262"/>
      <c r="T235" s="262"/>
      <c r="U235" s="262"/>
      <c r="V235" s="262"/>
      <c r="W235" s="263"/>
      <c r="X235" s="263"/>
      <c r="Y235" s="263"/>
      <c r="Z235" s="263"/>
      <c r="AA235" s="263"/>
      <c r="AB235" s="263"/>
      <c r="AC235" s="263"/>
      <c r="AD235" s="263"/>
      <c r="AE235" s="263"/>
      <c r="AF235" s="263"/>
      <c r="AG235" s="263"/>
      <c r="AH235" s="263"/>
      <c r="AI235" s="263"/>
      <c r="AJ235" s="263"/>
      <c r="AK235" s="263"/>
    </row>
    <row r="236">
      <c r="L236" s="262"/>
      <c r="Q236" s="262"/>
      <c r="R236" s="262"/>
      <c r="S236" s="262"/>
      <c r="T236" s="262"/>
      <c r="U236" s="262"/>
      <c r="V236" s="262"/>
      <c r="W236" s="263"/>
      <c r="X236" s="263"/>
      <c r="Y236" s="263"/>
      <c r="Z236" s="263"/>
      <c r="AA236" s="263"/>
      <c r="AB236" s="263"/>
      <c r="AC236" s="263"/>
      <c r="AD236" s="263"/>
      <c r="AE236" s="263"/>
      <c r="AF236" s="263"/>
      <c r="AG236" s="263"/>
      <c r="AH236" s="263"/>
      <c r="AI236" s="263"/>
      <c r="AJ236" s="263"/>
      <c r="AK236" s="263"/>
    </row>
    <row r="237">
      <c r="L237" s="262"/>
      <c r="Q237" s="262"/>
      <c r="R237" s="262"/>
      <c r="S237" s="262"/>
      <c r="T237" s="262"/>
      <c r="U237" s="262"/>
      <c r="V237" s="262"/>
      <c r="W237" s="263"/>
      <c r="X237" s="263"/>
      <c r="Y237" s="263"/>
      <c r="Z237" s="263"/>
      <c r="AA237" s="263"/>
      <c r="AB237" s="263"/>
      <c r="AC237" s="263"/>
      <c r="AD237" s="263"/>
      <c r="AE237" s="263"/>
      <c r="AF237" s="263"/>
      <c r="AG237" s="263"/>
      <c r="AH237" s="263"/>
      <c r="AI237" s="263"/>
      <c r="AJ237" s="263"/>
      <c r="AK237" s="263"/>
    </row>
    <row r="238">
      <c r="L238" s="262"/>
      <c r="Q238" s="262"/>
      <c r="R238" s="262"/>
      <c r="S238" s="262"/>
      <c r="T238" s="262"/>
      <c r="U238" s="262"/>
      <c r="V238" s="262"/>
      <c r="W238" s="263"/>
      <c r="X238" s="263"/>
      <c r="Y238" s="263"/>
      <c r="Z238" s="263"/>
      <c r="AA238" s="263"/>
      <c r="AB238" s="263"/>
      <c r="AC238" s="263"/>
      <c r="AD238" s="263"/>
      <c r="AE238" s="263"/>
      <c r="AF238" s="263"/>
      <c r="AG238" s="263"/>
      <c r="AH238" s="263"/>
      <c r="AI238" s="263"/>
      <c r="AJ238" s="263"/>
      <c r="AK238" s="263"/>
    </row>
    <row r="239">
      <c r="L239" s="262"/>
      <c r="Q239" s="262"/>
      <c r="R239" s="262"/>
      <c r="S239" s="262"/>
      <c r="T239" s="262"/>
      <c r="U239" s="262"/>
      <c r="V239" s="262"/>
      <c r="W239" s="263"/>
      <c r="X239" s="263"/>
      <c r="Y239" s="263"/>
      <c r="Z239" s="263"/>
      <c r="AA239" s="263"/>
      <c r="AB239" s="263"/>
      <c r="AC239" s="263"/>
      <c r="AD239" s="263"/>
      <c r="AE239" s="263"/>
      <c r="AF239" s="263"/>
      <c r="AG239" s="263"/>
      <c r="AH239" s="263"/>
      <c r="AI239" s="263"/>
      <c r="AJ239" s="263"/>
      <c r="AK239" s="263"/>
    </row>
    <row r="240">
      <c r="L240" s="262"/>
      <c r="Q240" s="262"/>
      <c r="R240" s="262"/>
      <c r="S240" s="262"/>
      <c r="T240" s="262"/>
      <c r="U240" s="262"/>
      <c r="V240" s="262"/>
      <c r="W240" s="263"/>
      <c r="X240" s="263"/>
      <c r="Y240" s="263"/>
      <c r="Z240" s="263"/>
      <c r="AA240" s="263"/>
      <c r="AB240" s="263"/>
      <c r="AC240" s="263"/>
      <c r="AD240" s="263"/>
      <c r="AE240" s="263"/>
      <c r="AF240" s="263"/>
      <c r="AG240" s="263"/>
      <c r="AH240" s="263"/>
      <c r="AI240" s="263"/>
      <c r="AJ240" s="263"/>
      <c r="AK240" s="263"/>
    </row>
    <row r="241">
      <c r="L241" s="262"/>
      <c r="Q241" s="262"/>
      <c r="R241" s="262"/>
      <c r="S241" s="262"/>
      <c r="T241" s="262"/>
      <c r="U241" s="262"/>
      <c r="V241" s="262"/>
      <c r="W241" s="263"/>
      <c r="X241" s="263"/>
      <c r="Y241" s="263"/>
      <c r="Z241" s="263"/>
      <c r="AA241" s="263"/>
      <c r="AB241" s="263"/>
      <c r="AC241" s="263"/>
      <c r="AD241" s="263"/>
      <c r="AE241" s="263"/>
      <c r="AF241" s="263"/>
      <c r="AG241" s="263"/>
      <c r="AH241" s="263"/>
      <c r="AI241" s="263"/>
      <c r="AJ241" s="263"/>
      <c r="AK241" s="263"/>
    </row>
    <row r="242">
      <c r="L242" s="262"/>
      <c r="Q242" s="262"/>
      <c r="R242" s="262"/>
      <c r="S242" s="262"/>
      <c r="T242" s="262"/>
      <c r="U242" s="262"/>
      <c r="V242" s="262"/>
      <c r="W242" s="263"/>
      <c r="X242" s="263"/>
      <c r="Y242" s="263"/>
      <c r="Z242" s="263"/>
      <c r="AA242" s="263"/>
      <c r="AB242" s="263"/>
      <c r="AC242" s="263"/>
      <c r="AD242" s="263"/>
      <c r="AE242" s="263"/>
      <c r="AF242" s="263"/>
      <c r="AG242" s="263"/>
      <c r="AH242" s="263"/>
      <c r="AI242" s="263"/>
      <c r="AJ242" s="263"/>
      <c r="AK242" s="263"/>
    </row>
    <row r="243">
      <c r="L243" s="262"/>
      <c r="Q243" s="262"/>
      <c r="R243" s="262"/>
      <c r="S243" s="262"/>
      <c r="T243" s="262"/>
      <c r="U243" s="262"/>
      <c r="V243" s="262"/>
      <c r="W243" s="263"/>
      <c r="X243" s="263"/>
      <c r="Y243" s="263"/>
      <c r="Z243" s="263"/>
      <c r="AA243" s="263"/>
      <c r="AB243" s="263"/>
      <c r="AC243" s="263"/>
      <c r="AD243" s="263"/>
      <c r="AE243" s="263"/>
      <c r="AF243" s="263"/>
      <c r="AG243" s="263"/>
      <c r="AH243" s="263"/>
      <c r="AI243" s="263"/>
      <c r="AJ243" s="263"/>
      <c r="AK243" s="263"/>
    </row>
    <row r="244">
      <c r="L244" s="262"/>
      <c r="Q244" s="262"/>
      <c r="R244" s="262"/>
      <c r="S244" s="262"/>
      <c r="T244" s="262"/>
      <c r="U244" s="262"/>
      <c r="V244" s="262"/>
      <c r="W244" s="263"/>
      <c r="X244" s="263"/>
      <c r="Y244" s="263"/>
      <c r="Z244" s="263"/>
      <c r="AA244" s="263"/>
      <c r="AB244" s="263"/>
      <c r="AC244" s="263"/>
      <c r="AD244" s="263"/>
      <c r="AE244" s="263"/>
      <c r="AF244" s="263"/>
      <c r="AG244" s="263"/>
      <c r="AH244" s="263"/>
      <c r="AI244" s="263"/>
      <c r="AJ244" s="263"/>
      <c r="AK244" s="263"/>
    </row>
    <row r="245">
      <c r="L245" s="262"/>
      <c r="Q245" s="262"/>
      <c r="R245" s="262"/>
      <c r="S245" s="262"/>
      <c r="T245" s="262"/>
      <c r="U245" s="262"/>
      <c r="V245" s="262"/>
      <c r="W245" s="263"/>
      <c r="X245" s="263"/>
      <c r="Y245" s="263"/>
      <c r="Z245" s="263"/>
      <c r="AA245" s="263"/>
      <c r="AB245" s="263"/>
      <c r="AC245" s="263"/>
      <c r="AD245" s="263"/>
      <c r="AE245" s="263"/>
      <c r="AF245" s="263"/>
      <c r="AG245" s="263"/>
      <c r="AH245" s="263"/>
      <c r="AI245" s="263"/>
      <c r="AJ245" s="263"/>
      <c r="AK245" s="263"/>
    </row>
    <row r="246">
      <c r="L246" s="262"/>
      <c r="Q246" s="262"/>
      <c r="R246" s="262"/>
      <c r="S246" s="262"/>
      <c r="T246" s="262"/>
      <c r="U246" s="262"/>
      <c r="V246" s="262"/>
      <c r="W246" s="263"/>
      <c r="X246" s="263"/>
      <c r="Y246" s="263"/>
      <c r="Z246" s="263"/>
      <c r="AA246" s="263"/>
      <c r="AB246" s="263"/>
      <c r="AC246" s="263"/>
      <c r="AD246" s="263"/>
      <c r="AE246" s="263"/>
      <c r="AF246" s="263"/>
      <c r="AG246" s="263"/>
      <c r="AH246" s="263"/>
      <c r="AI246" s="263"/>
      <c r="AJ246" s="263"/>
      <c r="AK246" s="263"/>
    </row>
    <row r="247">
      <c r="L247" s="262"/>
      <c r="Q247" s="262"/>
      <c r="R247" s="262"/>
      <c r="S247" s="262"/>
      <c r="T247" s="262"/>
      <c r="U247" s="262"/>
      <c r="V247" s="262"/>
      <c r="W247" s="263"/>
      <c r="X247" s="263"/>
      <c r="Y247" s="263"/>
      <c r="Z247" s="263"/>
      <c r="AA247" s="263"/>
      <c r="AB247" s="263"/>
      <c r="AC247" s="263"/>
      <c r="AD247" s="263"/>
      <c r="AE247" s="263"/>
      <c r="AF247" s="263"/>
      <c r="AG247" s="263"/>
      <c r="AH247" s="263"/>
      <c r="AI247" s="263"/>
      <c r="AJ247" s="263"/>
      <c r="AK247" s="263"/>
    </row>
    <row r="248">
      <c r="L248" s="262"/>
      <c r="Q248" s="262"/>
      <c r="R248" s="262"/>
      <c r="S248" s="262"/>
      <c r="T248" s="262"/>
      <c r="U248" s="262"/>
      <c r="V248" s="262"/>
      <c r="W248" s="263"/>
      <c r="X248" s="263"/>
      <c r="Y248" s="263"/>
      <c r="Z248" s="263"/>
      <c r="AA248" s="263"/>
      <c r="AB248" s="263"/>
      <c r="AC248" s="263"/>
      <c r="AD248" s="263"/>
      <c r="AE248" s="263"/>
      <c r="AF248" s="263"/>
      <c r="AG248" s="263"/>
      <c r="AH248" s="263"/>
      <c r="AI248" s="263"/>
      <c r="AJ248" s="263"/>
      <c r="AK248" s="263"/>
    </row>
    <row r="249">
      <c r="L249" s="262"/>
      <c r="Q249" s="262"/>
      <c r="R249" s="262"/>
      <c r="S249" s="262"/>
      <c r="T249" s="262"/>
      <c r="U249" s="262"/>
      <c r="V249" s="262"/>
      <c r="W249" s="263"/>
      <c r="X249" s="263"/>
      <c r="Y249" s="263"/>
      <c r="Z249" s="263"/>
      <c r="AA249" s="263"/>
      <c r="AB249" s="263"/>
      <c r="AC249" s="263"/>
      <c r="AD249" s="263"/>
      <c r="AE249" s="263"/>
      <c r="AF249" s="263"/>
      <c r="AG249" s="263"/>
      <c r="AH249" s="263"/>
      <c r="AI249" s="263"/>
      <c r="AJ249" s="263"/>
      <c r="AK249" s="263"/>
    </row>
    <row r="250">
      <c r="L250" s="262"/>
      <c r="Q250" s="262"/>
      <c r="R250" s="262"/>
      <c r="S250" s="262"/>
      <c r="T250" s="262"/>
      <c r="U250" s="262"/>
      <c r="V250" s="262"/>
      <c r="W250" s="263"/>
      <c r="X250" s="263"/>
      <c r="Y250" s="263"/>
      <c r="Z250" s="263"/>
      <c r="AA250" s="263"/>
      <c r="AB250" s="263"/>
      <c r="AC250" s="263"/>
      <c r="AD250" s="263"/>
      <c r="AE250" s="263"/>
      <c r="AF250" s="263"/>
      <c r="AG250" s="263"/>
      <c r="AH250" s="263"/>
      <c r="AI250" s="263"/>
      <c r="AJ250" s="263"/>
      <c r="AK250" s="263"/>
    </row>
    <row r="251">
      <c r="L251" s="262"/>
      <c r="Q251" s="262"/>
      <c r="R251" s="262"/>
      <c r="S251" s="262"/>
      <c r="T251" s="262"/>
      <c r="U251" s="262"/>
      <c r="V251" s="262"/>
      <c r="W251" s="263"/>
      <c r="X251" s="263"/>
      <c r="Y251" s="263"/>
      <c r="Z251" s="263"/>
      <c r="AA251" s="263"/>
      <c r="AB251" s="263"/>
      <c r="AC251" s="263"/>
      <c r="AD251" s="263"/>
      <c r="AE251" s="263"/>
      <c r="AF251" s="263"/>
      <c r="AG251" s="263"/>
      <c r="AH251" s="263"/>
      <c r="AI251" s="263"/>
      <c r="AJ251" s="263"/>
      <c r="AK251" s="263"/>
    </row>
    <row r="252">
      <c r="L252" s="262"/>
      <c r="Q252" s="262"/>
      <c r="R252" s="262"/>
      <c r="S252" s="262"/>
      <c r="T252" s="262"/>
      <c r="U252" s="262"/>
      <c r="V252" s="262"/>
      <c r="W252" s="263"/>
      <c r="X252" s="263"/>
      <c r="Y252" s="263"/>
      <c r="Z252" s="263"/>
      <c r="AA252" s="263"/>
      <c r="AB252" s="263"/>
      <c r="AC252" s="263"/>
      <c r="AD252" s="263"/>
      <c r="AE252" s="263"/>
      <c r="AF252" s="263"/>
      <c r="AG252" s="263"/>
      <c r="AH252" s="263"/>
      <c r="AI252" s="263"/>
      <c r="AJ252" s="263"/>
      <c r="AK252" s="263"/>
    </row>
    <row r="253">
      <c r="L253" s="262"/>
      <c r="Q253" s="262"/>
      <c r="R253" s="262"/>
      <c r="S253" s="262"/>
      <c r="T253" s="262"/>
      <c r="U253" s="262"/>
      <c r="V253" s="262"/>
      <c r="W253" s="263"/>
      <c r="X253" s="263"/>
      <c r="Y253" s="263"/>
      <c r="Z253" s="263"/>
      <c r="AA253" s="263"/>
      <c r="AB253" s="263"/>
      <c r="AC253" s="263"/>
      <c r="AD253" s="263"/>
      <c r="AE253" s="263"/>
      <c r="AF253" s="263"/>
      <c r="AG253" s="263"/>
      <c r="AH253" s="263"/>
      <c r="AI253" s="263"/>
      <c r="AJ253" s="263"/>
      <c r="AK253" s="263"/>
    </row>
    <row r="254">
      <c r="L254" s="262"/>
      <c r="Q254" s="262"/>
      <c r="R254" s="262"/>
      <c r="S254" s="262"/>
      <c r="T254" s="262"/>
      <c r="U254" s="262"/>
      <c r="V254" s="262"/>
      <c r="W254" s="263"/>
      <c r="X254" s="263"/>
      <c r="Y254" s="263"/>
      <c r="Z254" s="263"/>
      <c r="AA254" s="263"/>
      <c r="AB254" s="263"/>
      <c r="AC254" s="263"/>
      <c r="AD254" s="263"/>
      <c r="AE254" s="263"/>
      <c r="AF254" s="263"/>
      <c r="AG254" s="263"/>
      <c r="AH254" s="263"/>
      <c r="AI254" s="263"/>
      <c r="AJ254" s="263"/>
      <c r="AK254" s="263"/>
    </row>
    <row r="255">
      <c r="L255" s="262"/>
      <c r="Q255" s="262"/>
      <c r="R255" s="262"/>
      <c r="S255" s="262"/>
      <c r="T255" s="262"/>
      <c r="U255" s="262"/>
      <c r="V255" s="262"/>
      <c r="W255" s="263"/>
      <c r="X255" s="263"/>
      <c r="Y255" s="263"/>
      <c r="Z255" s="263"/>
      <c r="AA255" s="263"/>
      <c r="AB255" s="263"/>
      <c r="AC255" s="263"/>
      <c r="AD255" s="263"/>
      <c r="AE255" s="263"/>
      <c r="AF255" s="263"/>
      <c r="AG255" s="263"/>
      <c r="AH255" s="263"/>
      <c r="AI255" s="263"/>
      <c r="AJ255" s="263"/>
      <c r="AK255" s="263"/>
    </row>
    <row r="256">
      <c r="L256" s="262"/>
      <c r="Q256" s="262"/>
      <c r="R256" s="262"/>
      <c r="S256" s="262"/>
      <c r="T256" s="262"/>
      <c r="U256" s="262"/>
      <c r="V256" s="262"/>
      <c r="W256" s="263"/>
      <c r="X256" s="263"/>
      <c r="Y256" s="263"/>
      <c r="Z256" s="263"/>
      <c r="AA256" s="263"/>
      <c r="AB256" s="263"/>
      <c r="AC256" s="263"/>
      <c r="AD256" s="263"/>
      <c r="AE256" s="263"/>
      <c r="AF256" s="263"/>
      <c r="AG256" s="263"/>
      <c r="AH256" s="263"/>
      <c r="AI256" s="263"/>
      <c r="AJ256" s="263"/>
      <c r="AK256" s="263"/>
    </row>
    <row r="257">
      <c r="L257" s="262"/>
      <c r="Q257" s="262"/>
      <c r="R257" s="262"/>
      <c r="S257" s="262"/>
      <c r="T257" s="262"/>
      <c r="U257" s="262"/>
      <c r="V257" s="262"/>
      <c r="W257" s="263"/>
      <c r="X257" s="263"/>
      <c r="Y257" s="263"/>
      <c r="Z257" s="263"/>
      <c r="AA257" s="263"/>
      <c r="AB257" s="263"/>
      <c r="AC257" s="263"/>
      <c r="AD257" s="263"/>
      <c r="AE257" s="263"/>
      <c r="AF257" s="263"/>
      <c r="AG257" s="263"/>
      <c r="AH257" s="263"/>
      <c r="AI257" s="263"/>
      <c r="AJ257" s="263"/>
      <c r="AK257" s="263"/>
    </row>
    <row r="258">
      <c r="L258" s="262"/>
      <c r="Q258" s="262"/>
      <c r="R258" s="262"/>
      <c r="S258" s="262"/>
      <c r="T258" s="262"/>
      <c r="U258" s="262"/>
      <c r="V258" s="262"/>
      <c r="W258" s="263"/>
      <c r="X258" s="263"/>
      <c r="Y258" s="263"/>
      <c r="Z258" s="263"/>
      <c r="AA258" s="263"/>
      <c r="AB258" s="263"/>
      <c r="AC258" s="263"/>
      <c r="AD258" s="263"/>
      <c r="AE258" s="263"/>
      <c r="AF258" s="263"/>
      <c r="AG258" s="263"/>
      <c r="AH258" s="263"/>
      <c r="AI258" s="263"/>
      <c r="AJ258" s="263"/>
      <c r="AK258" s="263"/>
    </row>
    <row r="259">
      <c r="L259" s="262"/>
      <c r="Q259" s="262"/>
      <c r="R259" s="262"/>
      <c r="S259" s="262"/>
      <c r="T259" s="262"/>
      <c r="U259" s="262"/>
      <c r="V259" s="262"/>
      <c r="W259" s="263"/>
      <c r="X259" s="263"/>
      <c r="Y259" s="263"/>
      <c r="Z259" s="263"/>
      <c r="AA259" s="263"/>
      <c r="AB259" s="263"/>
      <c r="AC259" s="263"/>
      <c r="AD259" s="263"/>
      <c r="AE259" s="263"/>
      <c r="AF259" s="263"/>
      <c r="AG259" s="263"/>
      <c r="AH259" s="263"/>
      <c r="AI259" s="263"/>
      <c r="AJ259" s="263"/>
      <c r="AK259" s="263"/>
    </row>
    <row r="260">
      <c r="L260" s="262"/>
      <c r="Q260" s="262"/>
      <c r="R260" s="262"/>
      <c r="S260" s="262"/>
      <c r="T260" s="262"/>
      <c r="U260" s="262"/>
      <c r="V260" s="262"/>
      <c r="W260" s="263"/>
      <c r="X260" s="263"/>
      <c r="Y260" s="263"/>
      <c r="Z260" s="263"/>
      <c r="AA260" s="263"/>
      <c r="AB260" s="263"/>
      <c r="AC260" s="263"/>
      <c r="AD260" s="263"/>
      <c r="AE260" s="263"/>
      <c r="AF260" s="263"/>
      <c r="AG260" s="263"/>
      <c r="AH260" s="263"/>
      <c r="AI260" s="263"/>
      <c r="AJ260" s="263"/>
      <c r="AK260" s="263"/>
    </row>
    <row r="261">
      <c r="L261" s="262"/>
      <c r="Q261" s="262"/>
      <c r="R261" s="262"/>
      <c r="S261" s="262"/>
      <c r="T261" s="262"/>
      <c r="U261" s="262"/>
      <c r="V261" s="262"/>
      <c r="W261" s="263"/>
      <c r="X261" s="263"/>
      <c r="Y261" s="263"/>
      <c r="Z261" s="263"/>
      <c r="AA261" s="263"/>
      <c r="AB261" s="263"/>
      <c r="AC261" s="263"/>
      <c r="AD261" s="263"/>
      <c r="AE261" s="263"/>
      <c r="AF261" s="263"/>
      <c r="AG261" s="263"/>
      <c r="AH261" s="263"/>
      <c r="AI261" s="263"/>
      <c r="AJ261" s="263"/>
      <c r="AK261" s="263"/>
    </row>
    <row r="262">
      <c r="L262" s="262"/>
      <c r="Q262" s="262"/>
      <c r="R262" s="262"/>
      <c r="S262" s="262"/>
      <c r="T262" s="262"/>
      <c r="U262" s="262"/>
      <c r="V262" s="262"/>
      <c r="W262" s="263"/>
      <c r="X262" s="263"/>
      <c r="Y262" s="263"/>
      <c r="Z262" s="263"/>
      <c r="AA262" s="263"/>
      <c r="AB262" s="263"/>
      <c r="AC262" s="263"/>
      <c r="AD262" s="263"/>
      <c r="AE262" s="263"/>
      <c r="AF262" s="263"/>
      <c r="AG262" s="263"/>
      <c r="AH262" s="263"/>
      <c r="AI262" s="263"/>
      <c r="AJ262" s="263"/>
      <c r="AK262" s="263"/>
    </row>
    <row r="263">
      <c r="L263" s="262"/>
      <c r="Q263" s="262"/>
      <c r="R263" s="262"/>
      <c r="S263" s="262"/>
      <c r="T263" s="262"/>
      <c r="U263" s="262"/>
      <c r="V263" s="262"/>
      <c r="W263" s="263"/>
      <c r="X263" s="263"/>
      <c r="Y263" s="263"/>
      <c r="Z263" s="263"/>
      <c r="AA263" s="263"/>
      <c r="AB263" s="263"/>
      <c r="AC263" s="263"/>
      <c r="AD263" s="263"/>
      <c r="AE263" s="263"/>
      <c r="AF263" s="263"/>
      <c r="AG263" s="263"/>
      <c r="AH263" s="263"/>
      <c r="AI263" s="263"/>
      <c r="AJ263" s="263"/>
      <c r="AK263" s="263"/>
    </row>
    <row r="264">
      <c r="L264" s="262"/>
      <c r="Q264" s="262"/>
      <c r="R264" s="262"/>
      <c r="S264" s="262"/>
      <c r="T264" s="262"/>
      <c r="U264" s="262"/>
      <c r="V264" s="262"/>
      <c r="W264" s="263"/>
      <c r="X264" s="263"/>
      <c r="Y264" s="263"/>
      <c r="Z264" s="263"/>
      <c r="AA264" s="263"/>
      <c r="AB264" s="263"/>
      <c r="AC264" s="263"/>
      <c r="AD264" s="263"/>
      <c r="AE264" s="263"/>
      <c r="AF264" s="263"/>
      <c r="AG264" s="263"/>
      <c r="AH264" s="263"/>
      <c r="AI264" s="263"/>
      <c r="AJ264" s="263"/>
      <c r="AK264" s="263"/>
    </row>
    <row r="265">
      <c r="L265" s="262"/>
      <c r="Q265" s="262"/>
      <c r="R265" s="262"/>
      <c r="S265" s="262"/>
      <c r="T265" s="262"/>
      <c r="U265" s="262"/>
      <c r="V265" s="262"/>
      <c r="W265" s="263"/>
      <c r="X265" s="263"/>
      <c r="Y265" s="263"/>
      <c r="Z265" s="263"/>
      <c r="AA265" s="263"/>
      <c r="AB265" s="263"/>
      <c r="AC265" s="263"/>
      <c r="AD265" s="263"/>
      <c r="AE265" s="263"/>
      <c r="AF265" s="263"/>
      <c r="AG265" s="263"/>
      <c r="AH265" s="263"/>
      <c r="AI265" s="263"/>
      <c r="AJ265" s="263"/>
      <c r="AK265" s="263"/>
    </row>
    <row r="266">
      <c r="L266" s="262"/>
      <c r="Q266" s="262"/>
      <c r="R266" s="262"/>
      <c r="S266" s="262"/>
      <c r="T266" s="262"/>
      <c r="U266" s="262"/>
      <c r="V266" s="262"/>
      <c r="W266" s="263"/>
      <c r="X266" s="263"/>
      <c r="Y266" s="263"/>
      <c r="Z266" s="263"/>
      <c r="AA266" s="263"/>
      <c r="AB266" s="263"/>
      <c r="AC266" s="263"/>
      <c r="AD266" s="263"/>
      <c r="AE266" s="263"/>
      <c r="AF266" s="263"/>
      <c r="AG266" s="263"/>
      <c r="AH266" s="263"/>
      <c r="AI266" s="263"/>
      <c r="AJ266" s="263"/>
      <c r="AK266" s="263"/>
    </row>
    <row r="267">
      <c r="L267" s="262"/>
      <c r="Q267" s="262"/>
      <c r="R267" s="262"/>
      <c r="S267" s="262"/>
      <c r="T267" s="262"/>
      <c r="U267" s="262"/>
      <c r="V267" s="262"/>
      <c r="W267" s="263"/>
      <c r="X267" s="263"/>
      <c r="Y267" s="263"/>
      <c r="Z267" s="263"/>
      <c r="AA267" s="263"/>
      <c r="AB267" s="263"/>
      <c r="AC267" s="263"/>
      <c r="AD267" s="263"/>
      <c r="AE267" s="263"/>
      <c r="AF267" s="263"/>
      <c r="AG267" s="263"/>
      <c r="AH267" s="263"/>
      <c r="AI267" s="263"/>
      <c r="AJ267" s="263"/>
      <c r="AK267" s="263"/>
    </row>
    <row r="268">
      <c r="L268" s="262"/>
      <c r="Q268" s="262"/>
      <c r="R268" s="262"/>
      <c r="S268" s="262"/>
      <c r="T268" s="262"/>
      <c r="U268" s="262"/>
      <c r="V268" s="262"/>
      <c r="W268" s="263"/>
      <c r="X268" s="263"/>
      <c r="Y268" s="263"/>
      <c r="Z268" s="263"/>
      <c r="AA268" s="263"/>
      <c r="AB268" s="263"/>
      <c r="AC268" s="263"/>
      <c r="AD268" s="263"/>
      <c r="AE268" s="263"/>
      <c r="AF268" s="263"/>
      <c r="AG268" s="263"/>
      <c r="AH268" s="263"/>
      <c r="AI268" s="263"/>
      <c r="AJ268" s="263"/>
      <c r="AK268" s="263"/>
    </row>
    <row r="269">
      <c r="L269" s="262"/>
      <c r="Q269" s="262"/>
      <c r="R269" s="262"/>
      <c r="S269" s="262"/>
      <c r="T269" s="262"/>
      <c r="U269" s="262"/>
      <c r="V269" s="262"/>
      <c r="W269" s="263"/>
      <c r="X269" s="263"/>
      <c r="Y269" s="263"/>
      <c r="Z269" s="263"/>
      <c r="AA269" s="263"/>
      <c r="AB269" s="263"/>
      <c r="AC269" s="263"/>
      <c r="AD269" s="263"/>
      <c r="AE269" s="263"/>
      <c r="AF269" s="263"/>
      <c r="AG269" s="263"/>
      <c r="AH269" s="263"/>
      <c r="AI269" s="263"/>
      <c r="AJ269" s="263"/>
      <c r="AK269" s="263"/>
    </row>
    <row r="270">
      <c r="L270" s="262"/>
      <c r="Q270" s="262"/>
      <c r="R270" s="262"/>
      <c r="S270" s="262"/>
      <c r="T270" s="262"/>
      <c r="U270" s="262"/>
      <c r="V270" s="262"/>
      <c r="W270" s="263"/>
      <c r="X270" s="263"/>
      <c r="Y270" s="263"/>
      <c r="Z270" s="263"/>
      <c r="AA270" s="263"/>
      <c r="AB270" s="263"/>
      <c r="AC270" s="263"/>
      <c r="AD270" s="263"/>
      <c r="AE270" s="263"/>
      <c r="AF270" s="263"/>
      <c r="AG270" s="263"/>
      <c r="AH270" s="263"/>
      <c r="AI270" s="263"/>
      <c r="AJ270" s="263"/>
      <c r="AK270" s="263"/>
    </row>
    <row r="271">
      <c r="L271" s="262"/>
      <c r="Q271" s="262"/>
      <c r="R271" s="262"/>
      <c r="S271" s="262"/>
      <c r="T271" s="262"/>
      <c r="U271" s="262"/>
      <c r="V271" s="262"/>
      <c r="W271" s="263"/>
      <c r="X271" s="263"/>
      <c r="Y271" s="263"/>
      <c r="Z271" s="263"/>
      <c r="AA271" s="263"/>
      <c r="AB271" s="263"/>
      <c r="AC271" s="263"/>
      <c r="AD271" s="263"/>
      <c r="AE271" s="263"/>
      <c r="AF271" s="263"/>
      <c r="AG271" s="263"/>
      <c r="AH271" s="263"/>
      <c r="AI271" s="263"/>
      <c r="AJ271" s="263"/>
      <c r="AK271" s="263"/>
    </row>
    <row r="272">
      <c r="L272" s="262"/>
      <c r="Q272" s="262"/>
      <c r="R272" s="262"/>
      <c r="S272" s="262"/>
      <c r="T272" s="262"/>
      <c r="U272" s="262"/>
      <c r="V272" s="262"/>
      <c r="W272" s="263"/>
      <c r="X272" s="263"/>
      <c r="Y272" s="263"/>
      <c r="Z272" s="263"/>
      <c r="AA272" s="263"/>
      <c r="AB272" s="263"/>
      <c r="AC272" s="263"/>
      <c r="AD272" s="263"/>
      <c r="AE272" s="263"/>
      <c r="AF272" s="263"/>
      <c r="AG272" s="263"/>
      <c r="AH272" s="263"/>
      <c r="AI272" s="263"/>
      <c r="AJ272" s="263"/>
      <c r="AK272" s="263"/>
    </row>
    <row r="273">
      <c r="L273" s="262"/>
      <c r="Q273" s="262"/>
      <c r="R273" s="262"/>
      <c r="S273" s="262"/>
      <c r="T273" s="262"/>
      <c r="U273" s="262"/>
      <c r="V273" s="262"/>
      <c r="W273" s="263"/>
      <c r="X273" s="263"/>
      <c r="Y273" s="263"/>
      <c r="Z273" s="263"/>
      <c r="AA273" s="263"/>
      <c r="AB273" s="263"/>
      <c r="AC273" s="263"/>
      <c r="AD273" s="263"/>
      <c r="AE273" s="263"/>
      <c r="AF273" s="263"/>
      <c r="AG273" s="263"/>
      <c r="AH273" s="263"/>
      <c r="AI273" s="263"/>
      <c r="AJ273" s="263"/>
      <c r="AK273" s="263"/>
    </row>
    <row r="274">
      <c r="L274" s="262"/>
      <c r="Q274" s="262"/>
      <c r="R274" s="262"/>
      <c r="S274" s="262"/>
      <c r="T274" s="262"/>
      <c r="U274" s="262"/>
      <c r="V274" s="262"/>
      <c r="W274" s="263"/>
      <c r="X274" s="263"/>
      <c r="Y274" s="263"/>
      <c r="Z274" s="263"/>
      <c r="AA274" s="263"/>
      <c r="AB274" s="263"/>
      <c r="AC274" s="263"/>
      <c r="AD274" s="263"/>
      <c r="AE274" s="263"/>
      <c r="AF274" s="263"/>
      <c r="AG274" s="263"/>
      <c r="AH274" s="263"/>
      <c r="AI274" s="263"/>
      <c r="AJ274" s="263"/>
      <c r="AK274" s="263"/>
    </row>
    <row r="275">
      <c r="L275" s="262"/>
      <c r="Q275" s="262"/>
      <c r="R275" s="262"/>
      <c r="S275" s="262"/>
      <c r="T275" s="262"/>
      <c r="U275" s="262"/>
      <c r="V275" s="262"/>
      <c r="W275" s="263"/>
      <c r="X275" s="263"/>
      <c r="Y275" s="263"/>
      <c r="Z275" s="263"/>
      <c r="AA275" s="263"/>
      <c r="AB275" s="263"/>
      <c r="AC275" s="263"/>
      <c r="AD275" s="263"/>
      <c r="AE275" s="263"/>
      <c r="AF275" s="263"/>
      <c r="AG275" s="263"/>
      <c r="AH275" s="263"/>
      <c r="AI275" s="263"/>
      <c r="AJ275" s="263"/>
      <c r="AK275" s="263"/>
    </row>
    <row r="276">
      <c r="L276" s="262"/>
      <c r="Q276" s="262"/>
      <c r="R276" s="262"/>
      <c r="S276" s="262"/>
      <c r="T276" s="262"/>
      <c r="U276" s="262"/>
      <c r="V276" s="262"/>
      <c r="W276" s="263"/>
      <c r="X276" s="263"/>
      <c r="Y276" s="263"/>
      <c r="Z276" s="263"/>
      <c r="AA276" s="263"/>
      <c r="AB276" s="263"/>
      <c r="AC276" s="263"/>
      <c r="AD276" s="263"/>
      <c r="AE276" s="263"/>
      <c r="AF276" s="263"/>
      <c r="AG276" s="263"/>
      <c r="AH276" s="263"/>
      <c r="AI276" s="263"/>
      <c r="AJ276" s="263"/>
      <c r="AK276" s="263"/>
    </row>
    <row r="277">
      <c r="L277" s="262"/>
      <c r="Q277" s="262"/>
      <c r="R277" s="262"/>
      <c r="S277" s="262"/>
      <c r="T277" s="262"/>
      <c r="U277" s="262"/>
      <c r="V277" s="262"/>
      <c r="W277" s="263"/>
      <c r="X277" s="263"/>
      <c r="Y277" s="263"/>
      <c r="Z277" s="263"/>
      <c r="AA277" s="263"/>
      <c r="AB277" s="263"/>
      <c r="AC277" s="263"/>
      <c r="AD277" s="263"/>
      <c r="AE277" s="263"/>
      <c r="AF277" s="263"/>
      <c r="AG277" s="263"/>
      <c r="AH277" s="263"/>
      <c r="AI277" s="263"/>
      <c r="AJ277" s="263"/>
      <c r="AK277" s="263"/>
    </row>
    <row r="278">
      <c r="L278" s="262"/>
      <c r="Q278" s="262"/>
      <c r="R278" s="262"/>
      <c r="S278" s="262"/>
      <c r="T278" s="262"/>
      <c r="U278" s="262"/>
      <c r="V278" s="262"/>
      <c r="W278" s="263"/>
      <c r="X278" s="263"/>
      <c r="Y278" s="263"/>
      <c r="Z278" s="263"/>
      <c r="AA278" s="263"/>
      <c r="AB278" s="263"/>
      <c r="AC278" s="263"/>
      <c r="AD278" s="263"/>
      <c r="AE278" s="263"/>
      <c r="AF278" s="263"/>
      <c r="AG278" s="263"/>
      <c r="AH278" s="263"/>
      <c r="AI278" s="263"/>
      <c r="AJ278" s="263"/>
      <c r="AK278" s="263"/>
    </row>
    <row r="279">
      <c r="L279" s="262"/>
      <c r="Q279" s="262"/>
      <c r="R279" s="262"/>
      <c r="S279" s="262"/>
      <c r="T279" s="262"/>
      <c r="U279" s="262"/>
      <c r="V279" s="262"/>
      <c r="W279" s="263"/>
      <c r="X279" s="263"/>
      <c r="Y279" s="263"/>
      <c r="Z279" s="263"/>
      <c r="AA279" s="263"/>
      <c r="AB279" s="263"/>
      <c r="AC279" s="263"/>
      <c r="AD279" s="263"/>
      <c r="AE279" s="263"/>
      <c r="AF279" s="263"/>
      <c r="AG279" s="263"/>
      <c r="AH279" s="263"/>
      <c r="AI279" s="263"/>
      <c r="AJ279" s="263"/>
      <c r="AK279" s="263"/>
    </row>
    <row r="280">
      <c r="L280" s="262"/>
      <c r="Q280" s="262"/>
      <c r="R280" s="262"/>
      <c r="S280" s="262"/>
      <c r="T280" s="262"/>
      <c r="U280" s="262"/>
      <c r="V280" s="262"/>
      <c r="W280" s="263"/>
      <c r="X280" s="263"/>
      <c r="Y280" s="263"/>
      <c r="Z280" s="263"/>
      <c r="AA280" s="263"/>
      <c r="AB280" s="263"/>
      <c r="AC280" s="263"/>
      <c r="AD280" s="263"/>
      <c r="AE280" s="263"/>
      <c r="AF280" s="263"/>
      <c r="AG280" s="263"/>
      <c r="AH280" s="263"/>
      <c r="AI280" s="263"/>
      <c r="AJ280" s="263"/>
      <c r="AK280" s="263"/>
    </row>
    <row r="281">
      <c r="L281" s="262"/>
      <c r="Q281" s="262"/>
      <c r="R281" s="262"/>
      <c r="S281" s="262"/>
      <c r="T281" s="262"/>
      <c r="U281" s="262"/>
      <c r="V281" s="262"/>
      <c r="W281" s="263"/>
      <c r="X281" s="263"/>
      <c r="Y281" s="263"/>
      <c r="Z281" s="263"/>
      <c r="AA281" s="263"/>
      <c r="AB281" s="263"/>
      <c r="AC281" s="263"/>
      <c r="AD281" s="263"/>
      <c r="AE281" s="263"/>
      <c r="AF281" s="263"/>
      <c r="AG281" s="263"/>
      <c r="AH281" s="263"/>
      <c r="AI281" s="263"/>
      <c r="AJ281" s="263"/>
      <c r="AK281" s="263"/>
    </row>
    <row r="282">
      <c r="L282" s="262"/>
      <c r="Q282" s="262"/>
      <c r="R282" s="262"/>
      <c r="S282" s="262"/>
      <c r="T282" s="262"/>
      <c r="U282" s="262"/>
      <c r="V282" s="262"/>
      <c r="W282" s="263"/>
      <c r="X282" s="263"/>
      <c r="Y282" s="263"/>
      <c r="Z282" s="263"/>
      <c r="AA282" s="263"/>
      <c r="AB282" s="263"/>
      <c r="AC282" s="263"/>
      <c r="AD282" s="263"/>
      <c r="AE282" s="263"/>
      <c r="AF282" s="263"/>
      <c r="AG282" s="263"/>
      <c r="AH282" s="263"/>
      <c r="AI282" s="263"/>
      <c r="AJ282" s="263"/>
      <c r="AK282" s="263"/>
    </row>
    <row r="283">
      <c r="L283" s="262"/>
      <c r="Q283" s="262"/>
      <c r="R283" s="262"/>
      <c r="S283" s="262"/>
      <c r="T283" s="262"/>
      <c r="U283" s="262"/>
      <c r="V283" s="262"/>
      <c r="W283" s="263"/>
      <c r="X283" s="263"/>
      <c r="Y283" s="263"/>
      <c r="Z283" s="263"/>
      <c r="AA283" s="263"/>
      <c r="AB283" s="263"/>
      <c r="AC283" s="263"/>
      <c r="AD283" s="263"/>
      <c r="AE283" s="263"/>
      <c r="AF283" s="263"/>
      <c r="AG283" s="263"/>
      <c r="AH283" s="263"/>
      <c r="AI283" s="263"/>
      <c r="AJ283" s="263"/>
      <c r="AK283" s="263"/>
    </row>
    <row r="284">
      <c r="L284" s="262"/>
      <c r="Q284" s="262"/>
      <c r="R284" s="262"/>
      <c r="S284" s="262"/>
      <c r="T284" s="262"/>
      <c r="U284" s="262"/>
      <c r="V284" s="262"/>
      <c r="W284" s="263"/>
      <c r="X284" s="263"/>
      <c r="Y284" s="263"/>
      <c r="Z284" s="263"/>
      <c r="AA284" s="263"/>
      <c r="AB284" s="263"/>
      <c r="AC284" s="263"/>
      <c r="AD284" s="263"/>
      <c r="AE284" s="263"/>
      <c r="AF284" s="263"/>
      <c r="AG284" s="263"/>
      <c r="AH284" s="263"/>
      <c r="AI284" s="263"/>
      <c r="AJ284" s="263"/>
      <c r="AK284" s="263"/>
    </row>
    <row r="285">
      <c r="L285" s="262"/>
      <c r="Q285" s="262"/>
      <c r="R285" s="262"/>
      <c r="S285" s="262"/>
      <c r="T285" s="262"/>
      <c r="U285" s="262"/>
      <c r="V285" s="262"/>
      <c r="W285" s="263"/>
      <c r="X285" s="263"/>
      <c r="Y285" s="263"/>
      <c r="Z285" s="263"/>
      <c r="AA285" s="263"/>
      <c r="AB285" s="263"/>
      <c r="AC285" s="263"/>
      <c r="AD285" s="263"/>
      <c r="AE285" s="263"/>
      <c r="AF285" s="263"/>
      <c r="AG285" s="263"/>
      <c r="AH285" s="263"/>
      <c r="AI285" s="263"/>
      <c r="AJ285" s="263"/>
      <c r="AK285" s="263"/>
    </row>
    <row r="286">
      <c r="L286" s="262"/>
      <c r="Q286" s="262"/>
      <c r="R286" s="262"/>
      <c r="S286" s="262"/>
      <c r="T286" s="262"/>
      <c r="U286" s="262"/>
      <c r="V286" s="262"/>
      <c r="W286" s="263"/>
      <c r="X286" s="263"/>
      <c r="Y286" s="263"/>
      <c r="Z286" s="263"/>
      <c r="AA286" s="263"/>
      <c r="AB286" s="263"/>
      <c r="AC286" s="263"/>
      <c r="AD286" s="263"/>
      <c r="AE286" s="263"/>
      <c r="AF286" s="263"/>
      <c r="AG286" s="263"/>
      <c r="AH286" s="263"/>
      <c r="AI286" s="263"/>
      <c r="AJ286" s="263"/>
      <c r="AK286" s="263"/>
    </row>
    <row r="287">
      <c r="L287" s="262"/>
      <c r="Q287" s="262"/>
      <c r="R287" s="262"/>
      <c r="S287" s="262"/>
      <c r="T287" s="262"/>
      <c r="U287" s="262"/>
      <c r="V287" s="262"/>
      <c r="W287" s="263"/>
      <c r="X287" s="263"/>
      <c r="Y287" s="263"/>
      <c r="Z287" s="263"/>
      <c r="AA287" s="263"/>
      <c r="AB287" s="263"/>
      <c r="AC287" s="263"/>
      <c r="AD287" s="263"/>
      <c r="AE287" s="263"/>
      <c r="AF287" s="263"/>
      <c r="AG287" s="263"/>
      <c r="AH287" s="263"/>
      <c r="AI287" s="263"/>
      <c r="AJ287" s="263"/>
      <c r="AK287" s="263"/>
    </row>
    <row r="288">
      <c r="L288" s="262"/>
      <c r="Q288" s="262"/>
      <c r="R288" s="262"/>
      <c r="S288" s="262"/>
      <c r="T288" s="262"/>
      <c r="U288" s="262"/>
      <c r="V288" s="262"/>
      <c r="W288" s="263"/>
      <c r="X288" s="263"/>
      <c r="Y288" s="263"/>
      <c r="Z288" s="263"/>
      <c r="AA288" s="263"/>
      <c r="AB288" s="263"/>
      <c r="AC288" s="263"/>
      <c r="AD288" s="263"/>
      <c r="AE288" s="263"/>
      <c r="AF288" s="263"/>
      <c r="AG288" s="263"/>
      <c r="AH288" s="263"/>
      <c r="AI288" s="263"/>
      <c r="AJ288" s="263"/>
      <c r="AK288" s="263"/>
    </row>
    <row r="289">
      <c r="L289" s="262"/>
      <c r="Q289" s="262"/>
      <c r="R289" s="262"/>
      <c r="S289" s="262"/>
      <c r="T289" s="262"/>
      <c r="U289" s="262"/>
      <c r="V289" s="262"/>
      <c r="W289" s="263"/>
      <c r="X289" s="263"/>
      <c r="Y289" s="263"/>
      <c r="Z289" s="263"/>
      <c r="AA289" s="263"/>
      <c r="AB289" s="263"/>
      <c r="AC289" s="263"/>
      <c r="AD289" s="263"/>
      <c r="AE289" s="263"/>
      <c r="AF289" s="263"/>
      <c r="AG289" s="263"/>
      <c r="AH289" s="263"/>
      <c r="AI289" s="263"/>
      <c r="AJ289" s="263"/>
      <c r="AK289" s="263"/>
    </row>
    <row r="290">
      <c r="L290" s="262"/>
      <c r="Q290" s="262"/>
      <c r="R290" s="262"/>
      <c r="S290" s="262"/>
      <c r="T290" s="262"/>
      <c r="U290" s="262"/>
      <c r="V290" s="262"/>
      <c r="W290" s="263"/>
      <c r="X290" s="263"/>
      <c r="Y290" s="263"/>
      <c r="Z290" s="263"/>
      <c r="AA290" s="263"/>
      <c r="AB290" s="263"/>
      <c r="AC290" s="263"/>
      <c r="AD290" s="263"/>
      <c r="AE290" s="263"/>
      <c r="AF290" s="263"/>
      <c r="AG290" s="263"/>
      <c r="AH290" s="263"/>
      <c r="AI290" s="263"/>
      <c r="AJ290" s="263"/>
      <c r="AK290" s="263"/>
    </row>
    <row r="291">
      <c r="L291" s="262"/>
      <c r="Q291" s="262"/>
      <c r="R291" s="262"/>
      <c r="S291" s="262"/>
      <c r="T291" s="262"/>
      <c r="U291" s="262"/>
      <c r="V291" s="262"/>
      <c r="W291" s="263"/>
      <c r="X291" s="263"/>
      <c r="Y291" s="263"/>
      <c r="Z291" s="263"/>
      <c r="AA291" s="263"/>
      <c r="AB291" s="263"/>
      <c r="AC291" s="263"/>
      <c r="AD291" s="263"/>
      <c r="AE291" s="263"/>
      <c r="AF291" s="263"/>
      <c r="AG291" s="263"/>
      <c r="AH291" s="263"/>
      <c r="AI291" s="263"/>
      <c r="AJ291" s="263"/>
      <c r="AK291" s="263"/>
    </row>
    <row r="292">
      <c r="L292" s="262"/>
      <c r="Q292" s="262"/>
      <c r="R292" s="262"/>
      <c r="S292" s="262"/>
      <c r="T292" s="262"/>
      <c r="U292" s="262"/>
      <c r="V292" s="262"/>
      <c r="W292" s="263"/>
      <c r="X292" s="263"/>
      <c r="Y292" s="263"/>
      <c r="Z292" s="263"/>
      <c r="AA292" s="263"/>
      <c r="AB292" s="263"/>
      <c r="AC292" s="263"/>
      <c r="AD292" s="263"/>
      <c r="AE292" s="263"/>
      <c r="AF292" s="263"/>
      <c r="AG292" s="263"/>
      <c r="AH292" s="263"/>
      <c r="AI292" s="263"/>
      <c r="AJ292" s="263"/>
      <c r="AK292" s="263"/>
    </row>
    <row r="293">
      <c r="L293" s="262"/>
      <c r="Q293" s="262"/>
      <c r="R293" s="262"/>
      <c r="S293" s="262"/>
      <c r="T293" s="262"/>
      <c r="U293" s="262"/>
      <c r="V293" s="262"/>
      <c r="W293" s="263"/>
      <c r="X293" s="263"/>
      <c r="Y293" s="263"/>
      <c r="Z293" s="263"/>
      <c r="AA293" s="263"/>
      <c r="AB293" s="263"/>
      <c r="AC293" s="263"/>
      <c r="AD293" s="263"/>
      <c r="AE293" s="263"/>
      <c r="AF293" s="263"/>
      <c r="AG293" s="263"/>
      <c r="AH293" s="263"/>
      <c r="AI293" s="263"/>
      <c r="AJ293" s="263"/>
      <c r="AK293" s="263"/>
    </row>
    <row r="294">
      <c r="L294" s="262"/>
      <c r="Q294" s="262"/>
      <c r="R294" s="262"/>
      <c r="S294" s="262"/>
      <c r="T294" s="262"/>
      <c r="U294" s="262"/>
      <c r="V294" s="262"/>
      <c r="W294" s="263"/>
      <c r="X294" s="263"/>
      <c r="Y294" s="263"/>
      <c r="Z294" s="263"/>
      <c r="AA294" s="263"/>
      <c r="AB294" s="263"/>
      <c r="AC294" s="263"/>
      <c r="AD294" s="263"/>
      <c r="AE294" s="263"/>
      <c r="AF294" s="263"/>
      <c r="AG294" s="263"/>
      <c r="AH294" s="263"/>
      <c r="AI294" s="263"/>
      <c r="AJ294" s="263"/>
      <c r="AK294" s="263"/>
    </row>
    <row r="295">
      <c r="L295" s="262"/>
      <c r="Q295" s="262"/>
      <c r="R295" s="262"/>
      <c r="S295" s="262"/>
      <c r="T295" s="262"/>
      <c r="U295" s="262"/>
      <c r="V295" s="262"/>
      <c r="W295" s="263"/>
      <c r="X295" s="263"/>
      <c r="Y295" s="263"/>
      <c r="Z295" s="263"/>
      <c r="AA295" s="263"/>
      <c r="AB295" s="263"/>
      <c r="AC295" s="263"/>
      <c r="AD295" s="263"/>
      <c r="AE295" s="263"/>
      <c r="AF295" s="263"/>
      <c r="AG295" s="263"/>
      <c r="AH295" s="263"/>
      <c r="AI295" s="263"/>
      <c r="AJ295" s="263"/>
      <c r="AK295" s="263"/>
    </row>
    <row r="296">
      <c r="L296" s="262"/>
      <c r="Q296" s="262"/>
      <c r="R296" s="262"/>
      <c r="S296" s="262"/>
      <c r="T296" s="262"/>
      <c r="U296" s="262"/>
      <c r="V296" s="262"/>
      <c r="W296" s="263"/>
      <c r="X296" s="263"/>
      <c r="Y296" s="263"/>
      <c r="Z296" s="263"/>
      <c r="AA296" s="263"/>
      <c r="AB296" s="263"/>
      <c r="AC296" s="263"/>
      <c r="AD296" s="263"/>
      <c r="AE296" s="263"/>
      <c r="AF296" s="263"/>
      <c r="AG296" s="263"/>
      <c r="AH296" s="263"/>
      <c r="AI296" s="263"/>
      <c r="AJ296" s="263"/>
      <c r="AK296" s="263"/>
    </row>
    <row r="297">
      <c r="L297" s="262"/>
      <c r="Q297" s="262"/>
      <c r="R297" s="262"/>
      <c r="S297" s="262"/>
      <c r="T297" s="262"/>
      <c r="U297" s="262"/>
      <c r="V297" s="262"/>
      <c r="W297" s="263"/>
      <c r="X297" s="263"/>
      <c r="Y297" s="263"/>
      <c r="Z297" s="263"/>
      <c r="AA297" s="263"/>
      <c r="AB297" s="263"/>
      <c r="AC297" s="263"/>
      <c r="AD297" s="263"/>
      <c r="AE297" s="263"/>
      <c r="AF297" s="263"/>
      <c r="AG297" s="263"/>
      <c r="AH297" s="263"/>
      <c r="AI297" s="263"/>
      <c r="AJ297" s="263"/>
      <c r="AK297" s="263"/>
    </row>
    <row r="298">
      <c r="L298" s="262"/>
      <c r="Q298" s="262"/>
      <c r="R298" s="262"/>
      <c r="S298" s="262"/>
      <c r="T298" s="262"/>
      <c r="U298" s="262"/>
      <c r="V298" s="262"/>
      <c r="W298" s="263"/>
      <c r="X298" s="263"/>
      <c r="Y298" s="263"/>
      <c r="Z298" s="263"/>
      <c r="AA298" s="263"/>
      <c r="AB298" s="263"/>
      <c r="AC298" s="263"/>
      <c r="AD298" s="263"/>
      <c r="AE298" s="263"/>
      <c r="AF298" s="263"/>
      <c r="AG298" s="263"/>
      <c r="AH298" s="263"/>
      <c r="AI298" s="263"/>
      <c r="AJ298" s="263"/>
      <c r="AK298" s="263"/>
    </row>
    <row r="299">
      <c r="L299" s="262"/>
      <c r="Q299" s="262"/>
      <c r="R299" s="262"/>
      <c r="S299" s="262"/>
      <c r="T299" s="262"/>
      <c r="U299" s="262"/>
      <c r="V299" s="262"/>
      <c r="W299" s="263"/>
      <c r="X299" s="263"/>
      <c r="Y299" s="263"/>
      <c r="Z299" s="263"/>
      <c r="AA299" s="263"/>
      <c r="AB299" s="263"/>
      <c r="AC299" s="263"/>
      <c r="AD299" s="263"/>
      <c r="AE299" s="263"/>
      <c r="AF299" s="263"/>
      <c r="AG299" s="263"/>
      <c r="AH299" s="263"/>
      <c r="AI299" s="263"/>
      <c r="AJ299" s="263"/>
      <c r="AK299" s="263"/>
    </row>
    <row r="300">
      <c r="L300" s="262"/>
      <c r="Q300" s="262"/>
      <c r="R300" s="262"/>
      <c r="S300" s="262"/>
      <c r="T300" s="262"/>
      <c r="U300" s="262"/>
      <c r="V300" s="262"/>
      <c r="W300" s="263"/>
      <c r="X300" s="263"/>
      <c r="Y300" s="263"/>
      <c r="Z300" s="263"/>
      <c r="AA300" s="263"/>
      <c r="AB300" s="263"/>
      <c r="AC300" s="263"/>
      <c r="AD300" s="263"/>
      <c r="AE300" s="263"/>
      <c r="AF300" s="263"/>
      <c r="AG300" s="263"/>
      <c r="AH300" s="263"/>
      <c r="AI300" s="263"/>
      <c r="AJ300" s="263"/>
      <c r="AK300" s="263"/>
    </row>
    <row r="301">
      <c r="L301" s="262"/>
      <c r="Q301" s="262"/>
      <c r="R301" s="262"/>
      <c r="S301" s="262"/>
      <c r="T301" s="262"/>
      <c r="U301" s="262"/>
      <c r="V301" s="262"/>
      <c r="W301" s="263"/>
      <c r="X301" s="263"/>
      <c r="Y301" s="263"/>
      <c r="Z301" s="263"/>
      <c r="AA301" s="263"/>
      <c r="AB301" s="263"/>
      <c r="AC301" s="263"/>
      <c r="AD301" s="263"/>
      <c r="AE301" s="263"/>
      <c r="AF301" s="263"/>
      <c r="AG301" s="263"/>
      <c r="AH301" s="263"/>
      <c r="AI301" s="263"/>
      <c r="AJ301" s="263"/>
      <c r="AK301" s="263"/>
    </row>
    <row r="302">
      <c r="L302" s="262"/>
      <c r="Q302" s="262"/>
      <c r="R302" s="262"/>
      <c r="S302" s="262"/>
      <c r="T302" s="262"/>
      <c r="U302" s="262"/>
      <c r="V302" s="262"/>
      <c r="W302" s="263"/>
      <c r="X302" s="263"/>
      <c r="Y302" s="263"/>
      <c r="Z302" s="263"/>
      <c r="AA302" s="263"/>
      <c r="AB302" s="263"/>
      <c r="AC302" s="263"/>
      <c r="AD302" s="263"/>
      <c r="AE302" s="263"/>
      <c r="AF302" s="263"/>
      <c r="AG302" s="263"/>
      <c r="AH302" s="263"/>
      <c r="AI302" s="263"/>
      <c r="AJ302" s="263"/>
      <c r="AK302" s="263"/>
    </row>
    <row r="303">
      <c r="L303" s="262"/>
      <c r="Q303" s="262"/>
      <c r="R303" s="262"/>
      <c r="S303" s="262"/>
      <c r="T303" s="262"/>
      <c r="U303" s="262"/>
      <c r="V303" s="262"/>
      <c r="W303" s="263"/>
      <c r="X303" s="263"/>
      <c r="Y303" s="263"/>
      <c r="Z303" s="263"/>
      <c r="AA303" s="263"/>
      <c r="AB303" s="263"/>
      <c r="AC303" s="263"/>
      <c r="AD303" s="263"/>
      <c r="AE303" s="263"/>
      <c r="AF303" s="263"/>
      <c r="AG303" s="263"/>
      <c r="AH303" s="263"/>
      <c r="AI303" s="263"/>
      <c r="AJ303" s="263"/>
      <c r="AK303" s="263"/>
    </row>
    <row r="304">
      <c r="L304" s="262"/>
      <c r="Q304" s="262"/>
      <c r="R304" s="262"/>
      <c r="S304" s="262"/>
      <c r="T304" s="262"/>
      <c r="U304" s="262"/>
      <c r="V304" s="262"/>
      <c r="W304" s="263"/>
      <c r="X304" s="263"/>
      <c r="Y304" s="263"/>
      <c r="Z304" s="263"/>
      <c r="AA304" s="263"/>
      <c r="AB304" s="263"/>
      <c r="AC304" s="263"/>
      <c r="AD304" s="263"/>
      <c r="AE304" s="263"/>
      <c r="AF304" s="263"/>
      <c r="AG304" s="263"/>
      <c r="AH304" s="263"/>
      <c r="AI304" s="263"/>
      <c r="AJ304" s="263"/>
      <c r="AK304" s="263"/>
    </row>
    <row r="305">
      <c r="L305" s="262"/>
      <c r="Q305" s="262"/>
      <c r="R305" s="262"/>
      <c r="S305" s="262"/>
      <c r="T305" s="262"/>
      <c r="U305" s="262"/>
      <c r="V305" s="262"/>
      <c r="W305" s="263"/>
      <c r="X305" s="263"/>
      <c r="Y305" s="263"/>
      <c r="Z305" s="263"/>
      <c r="AA305" s="263"/>
      <c r="AB305" s="263"/>
      <c r="AC305" s="263"/>
      <c r="AD305" s="263"/>
      <c r="AE305" s="263"/>
      <c r="AF305" s="263"/>
      <c r="AG305" s="263"/>
      <c r="AH305" s="263"/>
      <c r="AI305" s="263"/>
      <c r="AJ305" s="263"/>
      <c r="AK305" s="263"/>
    </row>
    <row r="306">
      <c r="L306" s="262"/>
      <c r="Q306" s="262"/>
      <c r="R306" s="262"/>
      <c r="S306" s="262"/>
      <c r="T306" s="262"/>
      <c r="U306" s="262"/>
      <c r="V306" s="262"/>
      <c r="W306" s="263"/>
      <c r="X306" s="263"/>
      <c r="Y306" s="263"/>
      <c r="Z306" s="263"/>
      <c r="AA306" s="263"/>
      <c r="AB306" s="263"/>
      <c r="AC306" s="263"/>
      <c r="AD306" s="263"/>
      <c r="AE306" s="263"/>
      <c r="AF306" s="263"/>
      <c r="AG306" s="263"/>
      <c r="AH306" s="263"/>
      <c r="AI306" s="263"/>
      <c r="AJ306" s="263"/>
      <c r="AK306" s="263"/>
    </row>
    <row r="307">
      <c r="L307" s="262"/>
      <c r="Q307" s="262"/>
      <c r="R307" s="262"/>
      <c r="S307" s="262"/>
      <c r="T307" s="262"/>
      <c r="U307" s="262"/>
      <c r="V307" s="262"/>
      <c r="W307" s="263"/>
      <c r="X307" s="263"/>
      <c r="Y307" s="263"/>
      <c r="Z307" s="263"/>
      <c r="AA307" s="263"/>
      <c r="AB307" s="263"/>
      <c r="AC307" s="263"/>
      <c r="AD307" s="263"/>
      <c r="AE307" s="263"/>
      <c r="AF307" s="263"/>
      <c r="AG307" s="263"/>
      <c r="AH307" s="263"/>
      <c r="AI307" s="263"/>
      <c r="AJ307" s="263"/>
      <c r="AK307" s="263"/>
    </row>
    <row r="308">
      <c r="L308" s="262"/>
      <c r="Q308" s="262"/>
      <c r="R308" s="262"/>
      <c r="S308" s="262"/>
      <c r="T308" s="262"/>
      <c r="U308" s="262"/>
      <c r="V308" s="262"/>
      <c r="W308" s="263"/>
      <c r="X308" s="263"/>
      <c r="Y308" s="263"/>
      <c r="Z308" s="263"/>
      <c r="AA308" s="263"/>
      <c r="AB308" s="263"/>
      <c r="AC308" s="263"/>
      <c r="AD308" s="263"/>
      <c r="AE308" s="263"/>
      <c r="AF308" s="263"/>
      <c r="AG308" s="263"/>
      <c r="AH308" s="263"/>
      <c r="AI308" s="263"/>
      <c r="AJ308" s="263"/>
      <c r="AK308" s="263"/>
    </row>
    <row r="309">
      <c r="L309" s="262"/>
      <c r="Q309" s="262"/>
      <c r="R309" s="262"/>
      <c r="S309" s="262"/>
      <c r="T309" s="262"/>
      <c r="U309" s="262"/>
      <c r="V309" s="262"/>
      <c r="W309" s="263"/>
      <c r="X309" s="263"/>
      <c r="Y309" s="263"/>
      <c r="Z309" s="263"/>
      <c r="AA309" s="263"/>
      <c r="AB309" s="263"/>
      <c r="AC309" s="263"/>
      <c r="AD309" s="263"/>
      <c r="AE309" s="263"/>
      <c r="AF309" s="263"/>
      <c r="AG309" s="263"/>
      <c r="AH309" s="263"/>
      <c r="AI309" s="263"/>
      <c r="AJ309" s="263"/>
      <c r="AK309" s="263"/>
    </row>
    <row r="310">
      <c r="L310" s="262"/>
      <c r="Q310" s="262"/>
      <c r="R310" s="262"/>
      <c r="S310" s="262"/>
      <c r="T310" s="262"/>
      <c r="U310" s="262"/>
      <c r="V310" s="262"/>
      <c r="W310" s="263"/>
      <c r="X310" s="263"/>
      <c r="Y310" s="263"/>
      <c r="Z310" s="263"/>
      <c r="AA310" s="263"/>
      <c r="AB310" s="263"/>
      <c r="AC310" s="263"/>
      <c r="AD310" s="263"/>
      <c r="AE310" s="263"/>
      <c r="AF310" s="263"/>
      <c r="AG310" s="263"/>
      <c r="AH310" s="263"/>
      <c r="AI310" s="263"/>
      <c r="AJ310" s="263"/>
      <c r="AK310" s="263"/>
    </row>
    <row r="311">
      <c r="L311" s="262"/>
      <c r="Q311" s="262"/>
      <c r="R311" s="262"/>
      <c r="S311" s="262"/>
      <c r="T311" s="262"/>
      <c r="U311" s="262"/>
      <c r="V311" s="262"/>
      <c r="W311" s="263"/>
      <c r="X311" s="263"/>
      <c r="Y311" s="263"/>
      <c r="Z311" s="263"/>
      <c r="AA311" s="263"/>
      <c r="AB311" s="263"/>
      <c r="AC311" s="263"/>
      <c r="AD311" s="263"/>
      <c r="AE311" s="263"/>
      <c r="AF311" s="263"/>
      <c r="AG311" s="263"/>
      <c r="AH311" s="263"/>
      <c r="AI311" s="263"/>
      <c r="AJ311" s="263"/>
      <c r="AK311" s="263"/>
    </row>
    <row r="312">
      <c r="L312" s="262"/>
      <c r="Q312" s="262"/>
      <c r="R312" s="262"/>
      <c r="S312" s="262"/>
      <c r="T312" s="262"/>
      <c r="U312" s="262"/>
      <c r="V312" s="262"/>
      <c r="W312" s="263"/>
      <c r="X312" s="263"/>
      <c r="Y312" s="263"/>
      <c r="Z312" s="263"/>
      <c r="AA312" s="263"/>
      <c r="AB312" s="263"/>
      <c r="AC312" s="263"/>
      <c r="AD312" s="263"/>
      <c r="AE312" s="263"/>
      <c r="AF312" s="263"/>
      <c r="AG312" s="263"/>
      <c r="AH312" s="263"/>
      <c r="AI312" s="263"/>
      <c r="AJ312" s="263"/>
      <c r="AK312" s="263"/>
    </row>
    <row r="313">
      <c r="L313" s="262"/>
      <c r="Q313" s="262"/>
      <c r="R313" s="262"/>
      <c r="S313" s="262"/>
      <c r="T313" s="262"/>
      <c r="U313" s="262"/>
      <c r="V313" s="262"/>
      <c r="W313" s="263"/>
      <c r="X313" s="263"/>
      <c r="Y313" s="263"/>
      <c r="Z313" s="263"/>
      <c r="AA313" s="263"/>
      <c r="AB313" s="263"/>
      <c r="AC313" s="263"/>
      <c r="AD313" s="263"/>
      <c r="AE313" s="263"/>
      <c r="AF313" s="263"/>
      <c r="AG313" s="263"/>
      <c r="AH313" s="263"/>
      <c r="AI313" s="263"/>
      <c r="AJ313" s="263"/>
      <c r="AK313" s="263"/>
    </row>
    <row r="314">
      <c r="L314" s="262"/>
      <c r="Q314" s="262"/>
      <c r="R314" s="262"/>
      <c r="S314" s="262"/>
      <c r="T314" s="262"/>
      <c r="U314" s="262"/>
      <c r="V314" s="262"/>
      <c r="W314" s="263"/>
      <c r="X314" s="263"/>
      <c r="Y314" s="263"/>
      <c r="Z314" s="263"/>
      <c r="AA314" s="263"/>
      <c r="AB314" s="263"/>
      <c r="AC314" s="263"/>
      <c r="AD314" s="263"/>
      <c r="AE314" s="263"/>
      <c r="AF314" s="263"/>
      <c r="AG314" s="263"/>
      <c r="AH314" s="263"/>
      <c r="AI314" s="263"/>
      <c r="AJ314" s="263"/>
      <c r="AK314" s="263"/>
    </row>
    <row r="315">
      <c r="L315" s="262"/>
      <c r="Q315" s="262"/>
      <c r="R315" s="262"/>
      <c r="S315" s="262"/>
      <c r="T315" s="262"/>
      <c r="U315" s="262"/>
      <c r="V315" s="262"/>
      <c r="W315" s="263"/>
      <c r="X315" s="263"/>
      <c r="Y315" s="263"/>
      <c r="Z315" s="263"/>
      <c r="AA315" s="263"/>
      <c r="AB315" s="263"/>
      <c r="AC315" s="263"/>
      <c r="AD315" s="263"/>
      <c r="AE315" s="263"/>
      <c r="AF315" s="263"/>
      <c r="AG315" s="263"/>
      <c r="AH315" s="263"/>
      <c r="AI315" s="263"/>
      <c r="AJ315" s="263"/>
      <c r="AK315" s="263"/>
    </row>
    <row r="316">
      <c r="L316" s="262"/>
      <c r="Q316" s="262"/>
      <c r="R316" s="262"/>
      <c r="S316" s="262"/>
      <c r="T316" s="262"/>
      <c r="U316" s="262"/>
      <c r="V316" s="262"/>
      <c r="W316" s="263"/>
      <c r="X316" s="263"/>
      <c r="Y316" s="263"/>
      <c r="Z316" s="263"/>
      <c r="AA316" s="263"/>
      <c r="AB316" s="263"/>
      <c r="AC316" s="263"/>
      <c r="AD316" s="263"/>
      <c r="AE316" s="263"/>
      <c r="AF316" s="263"/>
      <c r="AG316" s="263"/>
      <c r="AH316" s="263"/>
      <c r="AI316" s="263"/>
      <c r="AJ316" s="263"/>
      <c r="AK316" s="263"/>
    </row>
    <row r="317">
      <c r="L317" s="262"/>
      <c r="Q317" s="262"/>
      <c r="R317" s="262"/>
      <c r="S317" s="262"/>
      <c r="T317" s="262"/>
      <c r="U317" s="262"/>
      <c r="V317" s="262"/>
      <c r="W317" s="263"/>
      <c r="X317" s="263"/>
      <c r="Y317" s="263"/>
      <c r="Z317" s="263"/>
      <c r="AA317" s="263"/>
      <c r="AB317" s="263"/>
      <c r="AC317" s="263"/>
      <c r="AD317" s="263"/>
      <c r="AE317" s="263"/>
      <c r="AF317" s="263"/>
      <c r="AG317" s="263"/>
      <c r="AH317" s="263"/>
      <c r="AI317" s="263"/>
      <c r="AJ317" s="263"/>
      <c r="AK317" s="263"/>
    </row>
    <row r="318">
      <c r="L318" s="262"/>
      <c r="Q318" s="262"/>
      <c r="R318" s="262"/>
      <c r="S318" s="262"/>
      <c r="T318" s="262"/>
      <c r="U318" s="262"/>
      <c r="V318" s="262"/>
      <c r="W318" s="263"/>
      <c r="X318" s="263"/>
      <c r="Y318" s="263"/>
      <c r="Z318" s="263"/>
      <c r="AA318" s="263"/>
      <c r="AB318" s="263"/>
      <c r="AC318" s="263"/>
      <c r="AD318" s="263"/>
      <c r="AE318" s="263"/>
      <c r="AF318" s="263"/>
      <c r="AG318" s="263"/>
      <c r="AH318" s="263"/>
      <c r="AI318" s="263"/>
      <c r="AJ318" s="263"/>
      <c r="AK318" s="263"/>
    </row>
    <row r="319">
      <c r="L319" s="262"/>
      <c r="Q319" s="262"/>
      <c r="R319" s="262"/>
      <c r="S319" s="262"/>
      <c r="T319" s="262"/>
      <c r="U319" s="262"/>
      <c r="V319" s="262"/>
      <c r="W319" s="263"/>
      <c r="X319" s="263"/>
      <c r="Y319" s="263"/>
      <c r="Z319" s="263"/>
      <c r="AA319" s="263"/>
      <c r="AB319" s="263"/>
      <c r="AC319" s="263"/>
      <c r="AD319" s="263"/>
      <c r="AE319" s="263"/>
      <c r="AF319" s="263"/>
      <c r="AG319" s="263"/>
      <c r="AH319" s="263"/>
      <c r="AI319" s="263"/>
      <c r="AJ319" s="263"/>
      <c r="AK319" s="263"/>
    </row>
    <row r="320">
      <c r="L320" s="262"/>
      <c r="Q320" s="262"/>
      <c r="R320" s="262"/>
      <c r="S320" s="262"/>
      <c r="T320" s="262"/>
      <c r="U320" s="262"/>
      <c r="V320" s="262"/>
      <c r="W320" s="263"/>
      <c r="X320" s="263"/>
      <c r="Y320" s="263"/>
      <c r="Z320" s="263"/>
      <c r="AA320" s="263"/>
      <c r="AB320" s="263"/>
      <c r="AC320" s="263"/>
      <c r="AD320" s="263"/>
      <c r="AE320" s="263"/>
      <c r="AF320" s="263"/>
      <c r="AG320" s="263"/>
      <c r="AH320" s="263"/>
      <c r="AI320" s="263"/>
      <c r="AJ320" s="263"/>
      <c r="AK320" s="263"/>
    </row>
    <row r="321">
      <c r="L321" s="262"/>
      <c r="Q321" s="262"/>
      <c r="R321" s="262"/>
      <c r="S321" s="262"/>
      <c r="T321" s="262"/>
      <c r="U321" s="262"/>
      <c r="V321" s="262"/>
      <c r="W321" s="263"/>
      <c r="X321" s="263"/>
      <c r="Y321" s="263"/>
      <c r="Z321" s="263"/>
      <c r="AA321" s="263"/>
      <c r="AB321" s="263"/>
      <c r="AC321" s="263"/>
      <c r="AD321" s="263"/>
      <c r="AE321" s="263"/>
      <c r="AF321" s="263"/>
      <c r="AG321" s="263"/>
      <c r="AH321" s="263"/>
      <c r="AI321" s="263"/>
      <c r="AJ321" s="263"/>
      <c r="AK321" s="263"/>
    </row>
    <row r="322">
      <c r="L322" s="262"/>
      <c r="Q322" s="262"/>
      <c r="R322" s="262"/>
      <c r="S322" s="262"/>
      <c r="T322" s="262"/>
      <c r="U322" s="262"/>
      <c r="V322" s="262"/>
      <c r="W322" s="263"/>
      <c r="X322" s="263"/>
      <c r="Y322" s="263"/>
      <c r="Z322" s="263"/>
      <c r="AA322" s="263"/>
      <c r="AB322" s="263"/>
      <c r="AC322" s="263"/>
      <c r="AD322" s="263"/>
      <c r="AE322" s="263"/>
      <c r="AF322" s="263"/>
      <c r="AG322" s="263"/>
      <c r="AH322" s="263"/>
      <c r="AI322" s="263"/>
      <c r="AJ322" s="263"/>
      <c r="AK322" s="263"/>
    </row>
    <row r="323">
      <c r="L323" s="262"/>
      <c r="Q323" s="262"/>
      <c r="R323" s="262"/>
      <c r="S323" s="262"/>
      <c r="T323" s="262"/>
      <c r="U323" s="262"/>
      <c r="V323" s="262"/>
      <c r="W323" s="263"/>
      <c r="X323" s="263"/>
      <c r="Y323" s="263"/>
      <c r="Z323" s="263"/>
      <c r="AA323" s="263"/>
      <c r="AB323" s="263"/>
      <c r="AC323" s="263"/>
      <c r="AD323" s="263"/>
      <c r="AE323" s="263"/>
      <c r="AF323" s="263"/>
      <c r="AG323" s="263"/>
      <c r="AH323" s="263"/>
      <c r="AI323" s="263"/>
      <c r="AJ323" s="263"/>
      <c r="AK323" s="263"/>
    </row>
    <row r="324">
      <c r="L324" s="262"/>
      <c r="Q324" s="262"/>
      <c r="R324" s="262"/>
      <c r="S324" s="262"/>
      <c r="T324" s="262"/>
      <c r="U324" s="262"/>
      <c r="V324" s="262"/>
      <c r="W324" s="263"/>
      <c r="X324" s="263"/>
      <c r="Y324" s="263"/>
      <c r="Z324" s="263"/>
      <c r="AA324" s="263"/>
      <c r="AB324" s="263"/>
      <c r="AC324" s="263"/>
      <c r="AD324" s="263"/>
      <c r="AE324" s="263"/>
      <c r="AF324" s="263"/>
      <c r="AG324" s="263"/>
      <c r="AH324" s="263"/>
      <c r="AI324" s="263"/>
      <c r="AJ324" s="263"/>
      <c r="AK324" s="263"/>
    </row>
    <row r="325">
      <c r="L325" s="262"/>
      <c r="Q325" s="262"/>
      <c r="R325" s="262"/>
      <c r="S325" s="262"/>
      <c r="T325" s="262"/>
      <c r="U325" s="262"/>
      <c r="V325" s="262"/>
      <c r="W325" s="263"/>
      <c r="X325" s="263"/>
      <c r="Y325" s="263"/>
      <c r="Z325" s="263"/>
      <c r="AA325" s="263"/>
      <c r="AB325" s="263"/>
      <c r="AC325" s="263"/>
      <c r="AD325" s="263"/>
      <c r="AE325" s="263"/>
      <c r="AF325" s="263"/>
      <c r="AG325" s="263"/>
      <c r="AH325" s="263"/>
      <c r="AI325" s="263"/>
      <c r="AJ325" s="263"/>
      <c r="AK325" s="263"/>
    </row>
    <row r="326">
      <c r="L326" s="262"/>
      <c r="Q326" s="262"/>
      <c r="R326" s="262"/>
      <c r="S326" s="262"/>
      <c r="T326" s="262"/>
      <c r="U326" s="262"/>
      <c r="V326" s="262"/>
      <c r="W326" s="263"/>
      <c r="X326" s="263"/>
      <c r="Y326" s="263"/>
      <c r="Z326" s="263"/>
      <c r="AA326" s="263"/>
      <c r="AB326" s="263"/>
      <c r="AC326" s="263"/>
      <c r="AD326" s="263"/>
      <c r="AE326" s="263"/>
      <c r="AF326" s="263"/>
      <c r="AG326" s="263"/>
      <c r="AH326" s="263"/>
      <c r="AI326" s="263"/>
      <c r="AJ326" s="263"/>
      <c r="AK326" s="263"/>
    </row>
    <row r="327">
      <c r="L327" s="262"/>
      <c r="Q327" s="262"/>
      <c r="R327" s="262"/>
      <c r="S327" s="262"/>
      <c r="T327" s="262"/>
      <c r="U327" s="262"/>
      <c r="V327" s="262"/>
      <c r="W327" s="263"/>
      <c r="X327" s="263"/>
      <c r="Y327" s="263"/>
      <c r="Z327" s="263"/>
      <c r="AA327" s="263"/>
      <c r="AB327" s="263"/>
      <c r="AC327" s="263"/>
      <c r="AD327" s="263"/>
      <c r="AE327" s="263"/>
      <c r="AF327" s="263"/>
      <c r="AG327" s="263"/>
      <c r="AH327" s="263"/>
      <c r="AI327" s="263"/>
      <c r="AJ327" s="263"/>
      <c r="AK327" s="263"/>
    </row>
    <row r="328">
      <c r="L328" s="262"/>
      <c r="Q328" s="262"/>
      <c r="R328" s="262"/>
      <c r="S328" s="262"/>
      <c r="T328" s="262"/>
      <c r="U328" s="262"/>
      <c r="V328" s="262"/>
      <c r="W328" s="263"/>
      <c r="X328" s="263"/>
      <c r="Y328" s="263"/>
      <c r="Z328" s="263"/>
      <c r="AA328" s="263"/>
      <c r="AB328" s="263"/>
      <c r="AC328" s="263"/>
      <c r="AD328" s="263"/>
      <c r="AE328" s="263"/>
      <c r="AF328" s="263"/>
      <c r="AG328" s="263"/>
      <c r="AH328" s="263"/>
      <c r="AI328" s="263"/>
      <c r="AJ328" s="263"/>
      <c r="AK328" s="263"/>
    </row>
    <row r="329">
      <c r="L329" s="262"/>
      <c r="Q329" s="262"/>
      <c r="R329" s="262"/>
      <c r="S329" s="262"/>
      <c r="T329" s="262"/>
      <c r="U329" s="262"/>
      <c r="V329" s="262"/>
      <c r="W329" s="263"/>
      <c r="X329" s="263"/>
      <c r="Y329" s="263"/>
      <c r="Z329" s="263"/>
      <c r="AA329" s="263"/>
      <c r="AB329" s="263"/>
      <c r="AC329" s="263"/>
      <c r="AD329" s="263"/>
      <c r="AE329" s="263"/>
      <c r="AF329" s="263"/>
      <c r="AG329" s="263"/>
      <c r="AH329" s="263"/>
      <c r="AI329" s="263"/>
      <c r="AJ329" s="263"/>
      <c r="AK329" s="263"/>
    </row>
    <row r="330">
      <c r="L330" s="262"/>
      <c r="Q330" s="262"/>
      <c r="R330" s="262"/>
      <c r="S330" s="262"/>
      <c r="T330" s="262"/>
      <c r="U330" s="262"/>
      <c r="V330" s="262"/>
      <c r="W330" s="263"/>
      <c r="X330" s="263"/>
      <c r="Y330" s="263"/>
      <c r="Z330" s="263"/>
      <c r="AA330" s="263"/>
      <c r="AB330" s="263"/>
      <c r="AC330" s="263"/>
      <c r="AD330" s="263"/>
      <c r="AE330" s="263"/>
      <c r="AF330" s="263"/>
      <c r="AG330" s="263"/>
      <c r="AH330" s="263"/>
      <c r="AI330" s="263"/>
      <c r="AJ330" s="263"/>
      <c r="AK330" s="263"/>
    </row>
    <row r="331">
      <c r="L331" s="262"/>
      <c r="Q331" s="262"/>
      <c r="R331" s="262"/>
      <c r="S331" s="262"/>
      <c r="T331" s="262"/>
      <c r="U331" s="262"/>
      <c r="V331" s="262"/>
      <c r="W331" s="263"/>
      <c r="X331" s="263"/>
      <c r="Y331" s="263"/>
      <c r="Z331" s="263"/>
      <c r="AA331" s="263"/>
      <c r="AB331" s="263"/>
      <c r="AC331" s="263"/>
      <c r="AD331" s="263"/>
      <c r="AE331" s="263"/>
      <c r="AF331" s="263"/>
      <c r="AG331" s="263"/>
      <c r="AH331" s="263"/>
      <c r="AI331" s="263"/>
      <c r="AJ331" s="263"/>
      <c r="AK331" s="263"/>
    </row>
    <row r="332">
      <c r="L332" s="262"/>
      <c r="Q332" s="262"/>
      <c r="R332" s="262"/>
      <c r="S332" s="262"/>
      <c r="T332" s="262"/>
      <c r="U332" s="262"/>
      <c r="V332" s="262"/>
      <c r="W332" s="263"/>
      <c r="X332" s="263"/>
      <c r="Y332" s="263"/>
      <c r="Z332" s="263"/>
      <c r="AA332" s="263"/>
      <c r="AB332" s="263"/>
      <c r="AC332" s="263"/>
      <c r="AD332" s="263"/>
      <c r="AE332" s="263"/>
      <c r="AF332" s="263"/>
      <c r="AG332" s="263"/>
      <c r="AH332" s="263"/>
      <c r="AI332" s="263"/>
      <c r="AJ332" s="263"/>
      <c r="AK332" s="263"/>
    </row>
    <row r="333">
      <c r="L333" s="262"/>
      <c r="Q333" s="262"/>
      <c r="R333" s="262"/>
      <c r="S333" s="262"/>
      <c r="T333" s="262"/>
      <c r="U333" s="262"/>
      <c r="V333" s="262"/>
      <c r="W333" s="263"/>
      <c r="X333" s="263"/>
      <c r="Y333" s="263"/>
      <c r="Z333" s="263"/>
      <c r="AA333" s="263"/>
      <c r="AB333" s="263"/>
      <c r="AC333" s="263"/>
      <c r="AD333" s="263"/>
      <c r="AE333" s="263"/>
      <c r="AF333" s="263"/>
      <c r="AG333" s="263"/>
      <c r="AH333" s="263"/>
      <c r="AI333" s="263"/>
      <c r="AJ333" s="263"/>
      <c r="AK333" s="263"/>
    </row>
    <row r="334">
      <c r="L334" s="262"/>
      <c r="Q334" s="262"/>
      <c r="R334" s="262"/>
      <c r="S334" s="262"/>
      <c r="T334" s="262"/>
      <c r="U334" s="262"/>
      <c r="V334" s="262"/>
      <c r="W334" s="263"/>
      <c r="X334" s="263"/>
      <c r="Y334" s="263"/>
      <c r="Z334" s="263"/>
      <c r="AA334" s="263"/>
      <c r="AB334" s="263"/>
      <c r="AC334" s="263"/>
      <c r="AD334" s="263"/>
      <c r="AE334" s="263"/>
      <c r="AF334" s="263"/>
      <c r="AG334" s="263"/>
      <c r="AH334" s="263"/>
      <c r="AI334" s="263"/>
      <c r="AJ334" s="263"/>
      <c r="AK334" s="263"/>
    </row>
    <row r="335">
      <c r="L335" s="262"/>
      <c r="Q335" s="262"/>
      <c r="R335" s="262"/>
      <c r="S335" s="262"/>
      <c r="T335" s="262"/>
      <c r="U335" s="262"/>
      <c r="V335" s="262"/>
      <c r="W335" s="263"/>
      <c r="X335" s="263"/>
      <c r="Y335" s="263"/>
      <c r="Z335" s="263"/>
      <c r="AA335" s="263"/>
      <c r="AB335" s="263"/>
      <c r="AC335" s="263"/>
      <c r="AD335" s="263"/>
      <c r="AE335" s="263"/>
      <c r="AF335" s="263"/>
      <c r="AG335" s="263"/>
      <c r="AH335" s="263"/>
      <c r="AI335" s="263"/>
      <c r="AJ335" s="263"/>
      <c r="AK335" s="263"/>
    </row>
    <row r="336">
      <c r="L336" s="262"/>
      <c r="Q336" s="262"/>
      <c r="R336" s="262"/>
      <c r="S336" s="262"/>
      <c r="T336" s="262"/>
      <c r="U336" s="262"/>
      <c r="V336" s="262"/>
      <c r="W336" s="263"/>
      <c r="X336" s="263"/>
      <c r="Y336" s="263"/>
      <c r="Z336" s="263"/>
      <c r="AA336" s="263"/>
      <c r="AB336" s="263"/>
      <c r="AC336" s="263"/>
      <c r="AD336" s="263"/>
      <c r="AE336" s="263"/>
      <c r="AF336" s="263"/>
      <c r="AG336" s="263"/>
      <c r="AH336" s="263"/>
      <c r="AI336" s="263"/>
      <c r="AJ336" s="263"/>
      <c r="AK336" s="263"/>
    </row>
    <row r="337">
      <c r="L337" s="262"/>
      <c r="Q337" s="262"/>
      <c r="R337" s="262"/>
      <c r="S337" s="262"/>
      <c r="T337" s="262"/>
      <c r="U337" s="262"/>
      <c r="V337" s="262"/>
      <c r="W337" s="263"/>
      <c r="X337" s="263"/>
      <c r="Y337" s="263"/>
      <c r="Z337" s="263"/>
      <c r="AA337" s="263"/>
      <c r="AB337" s="263"/>
      <c r="AC337" s="263"/>
      <c r="AD337" s="263"/>
      <c r="AE337" s="263"/>
      <c r="AF337" s="263"/>
      <c r="AG337" s="263"/>
      <c r="AH337" s="263"/>
      <c r="AI337" s="263"/>
      <c r="AJ337" s="263"/>
      <c r="AK337" s="263"/>
    </row>
    <row r="338">
      <c r="L338" s="262"/>
      <c r="Q338" s="262"/>
      <c r="R338" s="262"/>
      <c r="S338" s="262"/>
      <c r="T338" s="262"/>
      <c r="U338" s="262"/>
      <c r="V338" s="262"/>
      <c r="W338" s="263"/>
      <c r="X338" s="263"/>
      <c r="Y338" s="263"/>
      <c r="Z338" s="263"/>
      <c r="AA338" s="263"/>
      <c r="AB338" s="263"/>
      <c r="AC338" s="263"/>
      <c r="AD338" s="263"/>
      <c r="AE338" s="263"/>
      <c r="AF338" s="263"/>
      <c r="AG338" s="263"/>
      <c r="AH338" s="263"/>
      <c r="AI338" s="263"/>
      <c r="AJ338" s="263"/>
      <c r="AK338" s="263"/>
    </row>
    <row r="339">
      <c r="L339" s="262"/>
      <c r="Q339" s="262"/>
      <c r="R339" s="262"/>
      <c r="S339" s="262"/>
      <c r="T339" s="262"/>
      <c r="U339" s="262"/>
      <c r="V339" s="262"/>
      <c r="W339" s="263"/>
      <c r="X339" s="263"/>
      <c r="Y339" s="263"/>
      <c r="Z339" s="263"/>
      <c r="AA339" s="263"/>
      <c r="AB339" s="263"/>
      <c r="AC339" s="263"/>
      <c r="AD339" s="263"/>
      <c r="AE339" s="263"/>
      <c r="AF339" s="263"/>
      <c r="AG339" s="263"/>
      <c r="AH339" s="263"/>
      <c r="AI339" s="263"/>
      <c r="AJ339" s="263"/>
      <c r="AK339" s="263"/>
    </row>
    <row r="340">
      <c r="L340" s="262"/>
      <c r="Q340" s="262"/>
      <c r="R340" s="262"/>
      <c r="S340" s="262"/>
      <c r="T340" s="262"/>
      <c r="U340" s="262"/>
      <c r="V340" s="262"/>
      <c r="W340" s="263"/>
      <c r="X340" s="263"/>
      <c r="Y340" s="263"/>
      <c r="Z340" s="263"/>
      <c r="AA340" s="263"/>
      <c r="AB340" s="263"/>
      <c r="AC340" s="263"/>
      <c r="AD340" s="263"/>
      <c r="AE340" s="263"/>
      <c r="AF340" s="263"/>
      <c r="AG340" s="263"/>
      <c r="AH340" s="263"/>
      <c r="AI340" s="263"/>
      <c r="AJ340" s="263"/>
      <c r="AK340" s="263"/>
    </row>
    <row r="341">
      <c r="L341" s="262"/>
      <c r="Q341" s="262"/>
      <c r="R341" s="262"/>
      <c r="S341" s="262"/>
      <c r="T341" s="262"/>
      <c r="U341" s="262"/>
      <c r="V341" s="262"/>
      <c r="W341" s="263"/>
      <c r="X341" s="263"/>
      <c r="Y341" s="263"/>
      <c r="Z341" s="263"/>
      <c r="AA341" s="263"/>
      <c r="AB341" s="263"/>
      <c r="AC341" s="263"/>
      <c r="AD341" s="263"/>
      <c r="AE341" s="263"/>
      <c r="AF341" s="263"/>
      <c r="AG341" s="263"/>
      <c r="AH341" s="263"/>
      <c r="AI341" s="263"/>
      <c r="AJ341" s="263"/>
      <c r="AK341" s="263"/>
    </row>
    <row r="342">
      <c r="L342" s="262"/>
      <c r="Q342" s="262"/>
      <c r="R342" s="262"/>
      <c r="S342" s="262"/>
      <c r="T342" s="262"/>
      <c r="U342" s="262"/>
      <c r="V342" s="262"/>
      <c r="W342" s="263"/>
      <c r="X342" s="263"/>
      <c r="Y342" s="263"/>
      <c r="Z342" s="263"/>
      <c r="AA342" s="263"/>
      <c r="AB342" s="263"/>
      <c r="AC342" s="263"/>
      <c r="AD342" s="263"/>
      <c r="AE342" s="263"/>
      <c r="AF342" s="263"/>
      <c r="AG342" s="263"/>
      <c r="AH342" s="263"/>
      <c r="AI342" s="263"/>
      <c r="AJ342" s="263"/>
      <c r="AK342" s="263"/>
    </row>
    <row r="343">
      <c r="L343" s="262"/>
      <c r="Q343" s="262"/>
      <c r="R343" s="262"/>
      <c r="S343" s="262"/>
      <c r="T343" s="262"/>
      <c r="U343" s="262"/>
      <c r="V343" s="262"/>
      <c r="W343" s="263"/>
      <c r="X343" s="263"/>
      <c r="Y343" s="263"/>
      <c r="Z343" s="263"/>
      <c r="AA343" s="263"/>
      <c r="AB343" s="263"/>
      <c r="AC343" s="263"/>
      <c r="AD343" s="263"/>
      <c r="AE343" s="263"/>
      <c r="AF343" s="263"/>
      <c r="AG343" s="263"/>
      <c r="AH343" s="263"/>
      <c r="AI343" s="263"/>
      <c r="AJ343" s="263"/>
      <c r="AK343" s="263"/>
    </row>
    <row r="344">
      <c r="L344" s="262"/>
      <c r="Q344" s="262"/>
      <c r="R344" s="262"/>
      <c r="S344" s="262"/>
      <c r="T344" s="262"/>
      <c r="U344" s="262"/>
      <c r="V344" s="262"/>
      <c r="W344" s="263"/>
      <c r="X344" s="263"/>
      <c r="Y344" s="263"/>
      <c r="Z344" s="263"/>
      <c r="AA344" s="263"/>
      <c r="AB344" s="263"/>
      <c r="AC344" s="263"/>
      <c r="AD344" s="263"/>
      <c r="AE344" s="263"/>
      <c r="AF344" s="263"/>
      <c r="AG344" s="263"/>
      <c r="AH344" s="263"/>
      <c r="AI344" s="263"/>
      <c r="AJ344" s="263"/>
      <c r="AK344" s="263"/>
    </row>
    <row r="345">
      <c r="L345" s="262"/>
      <c r="Q345" s="262"/>
      <c r="R345" s="262"/>
      <c r="S345" s="262"/>
      <c r="T345" s="262"/>
      <c r="U345" s="262"/>
      <c r="V345" s="262"/>
      <c r="W345" s="263"/>
      <c r="X345" s="263"/>
      <c r="Y345" s="263"/>
      <c r="Z345" s="263"/>
      <c r="AA345" s="263"/>
      <c r="AB345" s="263"/>
      <c r="AC345" s="263"/>
      <c r="AD345" s="263"/>
      <c r="AE345" s="263"/>
      <c r="AF345" s="263"/>
      <c r="AG345" s="263"/>
      <c r="AH345" s="263"/>
      <c r="AI345" s="263"/>
      <c r="AJ345" s="263"/>
      <c r="AK345" s="263"/>
    </row>
    <row r="346">
      <c r="L346" s="262"/>
      <c r="Q346" s="262"/>
      <c r="R346" s="262"/>
      <c r="S346" s="262"/>
      <c r="T346" s="262"/>
      <c r="U346" s="262"/>
      <c r="V346" s="262"/>
      <c r="W346" s="263"/>
      <c r="X346" s="263"/>
      <c r="Y346" s="263"/>
      <c r="Z346" s="263"/>
      <c r="AA346" s="263"/>
      <c r="AB346" s="263"/>
      <c r="AC346" s="263"/>
      <c r="AD346" s="263"/>
      <c r="AE346" s="263"/>
      <c r="AF346" s="263"/>
      <c r="AG346" s="263"/>
      <c r="AH346" s="263"/>
      <c r="AI346" s="263"/>
      <c r="AJ346" s="263"/>
      <c r="AK346" s="263"/>
    </row>
    <row r="347">
      <c r="L347" s="262"/>
      <c r="Q347" s="262"/>
      <c r="R347" s="262"/>
      <c r="S347" s="262"/>
      <c r="T347" s="262"/>
      <c r="U347" s="262"/>
      <c r="V347" s="262"/>
      <c r="W347" s="263"/>
      <c r="X347" s="263"/>
      <c r="Y347" s="263"/>
      <c r="Z347" s="263"/>
      <c r="AA347" s="263"/>
      <c r="AB347" s="263"/>
      <c r="AC347" s="263"/>
      <c r="AD347" s="263"/>
      <c r="AE347" s="263"/>
      <c r="AF347" s="263"/>
      <c r="AG347" s="263"/>
      <c r="AH347" s="263"/>
      <c r="AI347" s="263"/>
      <c r="AJ347" s="263"/>
      <c r="AK347" s="263"/>
    </row>
    <row r="348">
      <c r="L348" s="262"/>
      <c r="Q348" s="262"/>
      <c r="R348" s="262"/>
      <c r="S348" s="262"/>
      <c r="T348" s="262"/>
      <c r="U348" s="262"/>
      <c r="V348" s="262"/>
      <c r="W348" s="263"/>
      <c r="X348" s="263"/>
      <c r="Y348" s="263"/>
      <c r="Z348" s="263"/>
      <c r="AA348" s="263"/>
      <c r="AB348" s="263"/>
      <c r="AC348" s="263"/>
      <c r="AD348" s="263"/>
      <c r="AE348" s="263"/>
      <c r="AF348" s="263"/>
      <c r="AG348" s="263"/>
      <c r="AH348" s="263"/>
      <c r="AI348" s="263"/>
      <c r="AJ348" s="263"/>
      <c r="AK348" s="263"/>
    </row>
    <row r="349">
      <c r="L349" s="262"/>
      <c r="Q349" s="262"/>
      <c r="R349" s="262"/>
      <c r="S349" s="262"/>
      <c r="T349" s="262"/>
      <c r="U349" s="262"/>
      <c r="V349" s="262"/>
      <c r="W349" s="263"/>
      <c r="X349" s="263"/>
      <c r="Y349" s="263"/>
      <c r="Z349" s="263"/>
      <c r="AA349" s="263"/>
      <c r="AB349" s="263"/>
      <c r="AC349" s="263"/>
      <c r="AD349" s="263"/>
      <c r="AE349" s="263"/>
      <c r="AF349" s="263"/>
      <c r="AG349" s="263"/>
      <c r="AH349" s="263"/>
      <c r="AI349" s="263"/>
      <c r="AJ349" s="263"/>
      <c r="AK349" s="263"/>
    </row>
    <row r="350">
      <c r="L350" s="262"/>
      <c r="Q350" s="262"/>
      <c r="R350" s="262"/>
      <c r="S350" s="262"/>
      <c r="T350" s="262"/>
      <c r="U350" s="262"/>
      <c r="V350" s="262"/>
      <c r="W350" s="263"/>
      <c r="X350" s="263"/>
      <c r="Y350" s="263"/>
      <c r="Z350" s="263"/>
      <c r="AA350" s="263"/>
      <c r="AB350" s="263"/>
      <c r="AC350" s="263"/>
      <c r="AD350" s="263"/>
      <c r="AE350" s="263"/>
      <c r="AF350" s="263"/>
      <c r="AG350" s="263"/>
      <c r="AH350" s="263"/>
      <c r="AI350" s="263"/>
      <c r="AJ350" s="263"/>
      <c r="AK350" s="263"/>
    </row>
    <row r="351">
      <c r="L351" s="262"/>
      <c r="Q351" s="262"/>
      <c r="R351" s="262"/>
      <c r="S351" s="262"/>
      <c r="T351" s="262"/>
      <c r="U351" s="262"/>
      <c r="V351" s="262"/>
      <c r="W351" s="263"/>
      <c r="X351" s="263"/>
      <c r="Y351" s="263"/>
      <c r="Z351" s="263"/>
      <c r="AA351" s="263"/>
      <c r="AB351" s="263"/>
      <c r="AC351" s="263"/>
      <c r="AD351" s="263"/>
      <c r="AE351" s="263"/>
      <c r="AF351" s="263"/>
      <c r="AG351" s="263"/>
      <c r="AH351" s="263"/>
      <c r="AI351" s="263"/>
      <c r="AJ351" s="263"/>
      <c r="AK351" s="263"/>
    </row>
    <row r="352">
      <c r="L352" s="262"/>
      <c r="Q352" s="262"/>
      <c r="R352" s="262"/>
      <c r="S352" s="262"/>
      <c r="T352" s="262"/>
      <c r="U352" s="262"/>
      <c r="V352" s="262"/>
      <c r="W352" s="263"/>
      <c r="X352" s="263"/>
      <c r="Y352" s="263"/>
      <c r="Z352" s="263"/>
      <c r="AA352" s="263"/>
      <c r="AB352" s="263"/>
      <c r="AC352" s="263"/>
      <c r="AD352" s="263"/>
      <c r="AE352" s="263"/>
      <c r="AF352" s="263"/>
      <c r="AG352" s="263"/>
      <c r="AH352" s="263"/>
      <c r="AI352" s="263"/>
      <c r="AJ352" s="263"/>
      <c r="AK352" s="263"/>
    </row>
    <row r="353">
      <c r="L353" s="262"/>
      <c r="Q353" s="262"/>
      <c r="R353" s="262"/>
      <c r="S353" s="262"/>
      <c r="T353" s="262"/>
      <c r="U353" s="262"/>
      <c r="V353" s="262"/>
      <c r="W353" s="263"/>
      <c r="X353" s="263"/>
      <c r="Y353" s="263"/>
      <c r="Z353" s="263"/>
      <c r="AA353" s="263"/>
      <c r="AB353" s="263"/>
      <c r="AC353" s="263"/>
      <c r="AD353" s="263"/>
      <c r="AE353" s="263"/>
      <c r="AF353" s="263"/>
      <c r="AG353" s="263"/>
      <c r="AH353" s="263"/>
      <c r="AI353" s="263"/>
      <c r="AJ353" s="263"/>
      <c r="AK353" s="263"/>
    </row>
    <row r="354">
      <c r="L354" s="262"/>
      <c r="Q354" s="262"/>
      <c r="R354" s="262"/>
      <c r="S354" s="262"/>
      <c r="T354" s="262"/>
      <c r="U354" s="262"/>
      <c r="V354" s="262"/>
      <c r="W354" s="263"/>
      <c r="X354" s="263"/>
      <c r="Y354" s="263"/>
      <c r="Z354" s="263"/>
      <c r="AA354" s="263"/>
      <c r="AB354" s="263"/>
      <c r="AC354" s="263"/>
      <c r="AD354" s="263"/>
      <c r="AE354" s="263"/>
      <c r="AF354" s="263"/>
      <c r="AG354" s="263"/>
      <c r="AH354" s="263"/>
      <c r="AI354" s="263"/>
      <c r="AJ354" s="263"/>
      <c r="AK354" s="263"/>
    </row>
    <row r="355">
      <c r="L355" s="262"/>
      <c r="Q355" s="262"/>
      <c r="R355" s="262"/>
      <c r="S355" s="262"/>
      <c r="T355" s="262"/>
      <c r="U355" s="262"/>
      <c r="V355" s="262"/>
      <c r="W355" s="263"/>
      <c r="X355" s="263"/>
      <c r="Y355" s="263"/>
      <c r="Z355" s="263"/>
      <c r="AA355" s="263"/>
      <c r="AB355" s="263"/>
      <c r="AC355" s="263"/>
      <c r="AD355" s="263"/>
      <c r="AE355" s="263"/>
      <c r="AF355" s="263"/>
      <c r="AG355" s="263"/>
      <c r="AH355" s="263"/>
      <c r="AI355" s="263"/>
      <c r="AJ355" s="263"/>
      <c r="AK355" s="263"/>
    </row>
    <row r="356">
      <c r="L356" s="262"/>
      <c r="Q356" s="262"/>
      <c r="R356" s="262"/>
      <c r="S356" s="262"/>
      <c r="T356" s="262"/>
      <c r="U356" s="262"/>
      <c r="V356" s="262"/>
      <c r="W356" s="263"/>
      <c r="X356" s="263"/>
      <c r="Y356" s="263"/>
      <c r="Z356" s="263"/>
      <c r="AA356" s="263"/>
      <c r="AB356" s="263"/>
      <c r="AC356" s="263"/>
      <c r="AD356" s="263"/>
      <c r="AE356" s="263"/>
      <c r="AF356" s="263"/>
      <c r="AG356" s="263"/>
      <c r="AH356" s="263"/>
      <c r="AI356" s="263"/>
      <c r="AJ356" s="263"/>
      <c r="AK356" s="263"/>
    </row>
    <row r="357">
      <c r="L357" s="262"/>
      <c r="Q357" s="262"/>
      <c r="R357" s="262"/>
      <c r="S357" s="262"/>
      <c r="T357" s="262"/>
      <c r="U357" s="262"/>
      <c r="V357" s="262"/>
      <c r="W357" s="263"/>
      <c r="X357" s="263"/>
      <c r="Y357" s="263"/>
      <c r="Z357" s="263"/>
      <c r="AA357" s="263"/>
      <c r="AB357" s="263"/>
      <c r="AC357" s="263"/>
      <c r="AD357" s="263"/>
      <c r="AE357" s="263"/>
      <c r="AF357" s="263"/>
      <c r="AG357" s="263"/>
      <c r="AH357" s="263"/>
      <c r="AI357" s="263"/>
      <c r="AJ357" s="263"/>
      <c r="AK357" s="263"/>
    </row>
    <row r="358">
      <c r="L358" s="262"/>
      <c r="Q358" s="262"/>
      <c r="R358" s="262"/>
      <c r="S358" s="262"/>
      <c r="T358" s="262"/>
      <c r="U358" s="262"/>
      <c r="V358" s="262"/>
      <c r="W358" s="263"/>
      <c r="X358" s="263"/>
      <c r="Y358" s="263"/>
      <c r="Z358" s="263"/>
      <c r="AA358" s="263"/>
      <c r="AB358" s="263"/>
      <c r="AC358" s="263"/>
      <c r="AD358" s="263"/>
      <c r="AE358" s="263"/>
      <c r="AF358" s="263"/>
      <c r="AG358" s="263"/>
      <c r="AH358" s="263"/>
      <c r="AI358" s="263"/>
      <c r="AJ358" s="263"/>
      <c r="AK358" s="263"/>
    </row>
    <row r="359">
      <c r="L359" s="262"/>
      <c r="Q359" s="262"/>
      <c r="R359" s="262"/>
      <c r="S359" s="262"/>
      <c r="T359" s="262"/>
      <c r="U359" s="262"/>
      <c r="V359" s="262"/>
      <c r="W359" s="263"/>
      <c r="X359" s="263"/>
      <c r="Y359" s="263"/>
      <c r="Z359" s="263"/>
      <c r="AA359" s="263"/>
      <c r="AB359" s="263"/>
      <c r="AC359" s="263"/>
      <c r="AD359" s="263"/>
      <c r="AE359" s="263"/>
      <c r="AF359" s="263"/>
      <c r="AG359" s="263"/>
      <c r="AH359" s="263"/>
      <c r="AI359" s="263"/>
      <c r="AJ359" s="263"/>
      <c r="AK359" s="263"/>
    </row>
    <row r="360">
      <c r="L360" s="262"/>
      <c r="Q360" s="262"/>
      <c r="R360" s="262"/>
      <c r="S360" s="262"/>
      <c r="T360" s="262"/>
      <c r="U360" s="262"/>
      <c r="V360" s="262"/>
      <c r="W360" s="263"/>
      <c r="X360" s="263"/>
      <c r="Y360" s="263"/>
      <c r="Z360" s="263"/>
      <c r="AA360" s="263"/>
      <c r="AB360" s="263"/>
      <c r="AC360" s="263"/>
      <c r="AD360" s="263"/>
      <c r="AE360" s="263"/>
      <c r="AF360" s="263"/>
      <c r="AG360" s="263"/>
      <c r="AH360" s="263"/>
      <c r="AI360" s="263"/>
      <c r="AJ360" s="263"/>
      <c r="AK360" s="263"/>
    </row>
    <row r="361">
      <c r="L361" s="262"/>
      <c r="Q361" s="262"/>
      <c r="R361" s="262"/>
      <c r="S361" s="262"/>
      <c r="T361" s="262"/>
      <c r="U361" s="262"/>
      <c r="V361" s="262"/>
      <c r="W361" s="263"/>
      <c r="X361" s="263"/>
      <c r="Y361" s="263"/>
      <c r="Z361" s="263"/>
      <c r="AA361" s="263"/>
      <c r="AB361" s="263"/>
      <c r="AC361" s="263"/>
      <c r="AD361" s="263"/>
      <c r="AE361" s="263"/>
      <c r="AF361" s="263"/>
      <c r="AG361" s="263"/>
      <c r="AH361" s="263"/>
      <c r="AI361" s="263"/>
      <c r="AJ361" s="263"/>
      <c r="AK361" s="263"/>
    </row>
    <row r="362">
      <c r="L362" s="262"/>
      <c r="Q362" s="262"/>
      <c r="R362" s="262"/>
      <c r="S362" s="262"/>
      <c r="T362" s="262"/>
      <c r="U362" s="262"/>
      <c r="V362" s="262"/>
      <c r="W362" s="263"/>
      <c r="X362" s="263"/>
      <c r="Y362" s="263"/>
      <c r="Z362" s="263"/>
      <c r="AA362" s="263"/>
      <c r="AB362" s="263"/>
      <c r="AC362" s="263"/>
      <c r="AD362" s="263"/>
      <c r="AE362" s="263"/>
      <c r="AF362" s="263"/>
      <c r="AG362" s="263"/>
      <c r="AH362" s="263"/>
      <c r="AI362" s="263"/>
      <c r="AJ362" s="263"/>
      <c r="AK362" s="263"/>
    </row>
    <row r="363">
      <c r="L363" s="262"/>
      <c r="Q363" s="262"/>
      <c r="R363" s="262"/>
      <c r="S363" s="262"/>
      <c r="T363" s="262"/>
      <c r="U363" s="262"/>
      <c r="V363" s="262"/>
      <c r="W363" s="263"/>
      <c r="X363" s="263"/>
      <c r="Y363" s="263"/>
      <c r="Z363" s="263"/>
      <c r="AA363" s="263"/>
      <c r="AB363" s="263"/>
      <c r="AC363" s="263"/>
      <c r="AD363" s="263"/>
      <c r="AE363" s="263"/>
      <c r="AF363" s="263"/>
      <c r="AG363" s="263"/>
      <c r="AH363" s="263"/>
      <c r="AI363" s="263"/>
      <c r="AJ363" s="263"/>
      <c r="AK363" s="263"/>
    </row>
    <row r="364">
      <c r="L364" s="262"/>
      <c r="Q364" s="262"/>
      <c r="R364" s="262"/>
      <c r="S364" s="262"/>
      <c r="T364" s="262"/>
      <c r="U364" s="262"/>
      <c r="V364" s="262"/>
      <c r="W364" s="263"/>
      <c r="X364" s="263"/>
      <c r="Y364" s="263"/>
      <c r="Z364" s="263"/>
      <c r="AA364" s="263"/>
      <c r="AB364" s="263"/>
      <c r="AC364" s="263"/>
      <c r="AD364" s="263"/>
      <c r="AE364" s="263"/>
      <c r="AF364" s="263"/>
      <c r="AG364" s="263"/>
      <c r="AH364" s="263"/>
      <c r="AI364" s="263"/>
      <c r="AJ364" s="263"/>
      <c r="AK364" s="263"/>
    </row>
    <row r="365">
      <c r="L365" s="262"/>
      <c r="Q365" s="262"/>
      <c r="R365" s="262"/>
      <c r="S365" s="262"/>
      <c r="T365" s="262"/>
      <c r="U365" s="262"/>
      <c r="V365" s="262"/>
      <c r="W365" s="263"/>
      <c r="X365" s="263"/>
      <c r="Y365" s="263"/>
      <c r="Z365" s="263"/>
      <c r="AA365" s="263"/>
      <c r="AB365" s="263"/>
      <c r="AC365" s="263"/>
      <c r="AD365" s="263"/>
      <c r="AE365" s="263"/>
      <c r="AF365" s="263"/>
      <c r="AG365" s="263"/>
      <c r="AH365" s="263"/>
      <c r="AI365" s="263"/>
      <c r="AJ365" s="263"/>
      <c r="AK365" s="263"/>
    </row>
    <row r="366">
      <c r="L366" s="262"/>
      <c r="Q366" s="262"/>
      <c r="R366" s="262"/>
      <c r="S366" s="262"/>
      <c r="T366" s="262"/>
      <c r="U366" s="262"/>
      <c r="V366" s="262"/>
      <c r="W366" s="263"/>
      <c r="X366" s="263"/>
      <c r="Y366" s="263"/>
      <c r="Z366" s="263"/>
      <c r="AA366" s="263"/>
      <c r="AB366" s="263"/>
      <c r="AC366" s="263"/>
      <c r="AD366" s="263"/>
      <c r="AE366" s="263"/>
      <c r="AF366" s="263"/>
      <c r="AG366" s="263"/>
      <c r="AH366" s="263"/>
      <c r="AI366" s="263"/>
      <c r="AJ366" s="263"/>
      <c r="AK366" s="263"/>
    </row>
    <row r="367">
      <c r="L367" s="262"/>
      <c r="Q367" s="262"/>
      <c r="R367" s="262"/>
      <c r="S367" s="262"/>
      <c r="T367" s="262"/>
      <c r="U367" s="262"/>
      <c r="V367" s="262"/>
      <c r="W367" s="263"/>
      <c r="X367" s="263"/>
      <c r="Y367" s="263"/>
      <c r="Z367" s="263"/>
      <c r="AA367" s="263"/>
      <c r="AB367" s="263"/>
      <c r="AC367" s="263"/>
      <c r="AD367" s="263"/>
      <c r="AE367" s="263"/>
      <c r="AF367" s="263"/>
      <c r="AG367" s="263"/>
      <c r="AH367" s="263"/>
      <c r="AI367" s="263"/>
      <c r="AJ367" s="263"/>
      <c r="AK367" s="263"/>
    </row>
    <row r="368">
      <c r="L368" s="262"/>
      <c r="Q368" s="262"/>
      <c r="R368" s="262"/>
      <c r="S368" s="262"/>
      <c r="T368" s="262"/>
      <c r="U368" s="262"/>
      <c r="V368" s="262"/>
      <c r="W368" s="263"/>
      <c r="X368" s="263"/>
      <c r="Y368" s="263"/>
      <c r="Z368" s="263"/>
      <c r="AA368" s="263"/>
      <c r="AB368" s="263"/>
      <c r="AC368" s="263"/>
      <c r="AD368" s="263"/>
      <c r="AE368" s="263"/>
      <c r="AF368" s="263"/>
      <c r="AG368" s="263"/>
      <c r="AH368" s="263"/>
      <c r="AI368" s="263"/>
      <c r="AJ368" s="263"/>
      <c r="AK368" s="263"/>
    </row>
    <row r="369">
      <c r="L369" s="262"/>
      <c r="Q369" s="262"/>
      <c r="R369" s="262"/>
      <c r="S369" s="262"/>
      <c r="T369" s="262"/>
      <c r="U369" s="262"/>
      <c r="V369" s="262"/>
      <c r="W369" s="263"/>
      <c r="X369" s="263"/>
      <c r="Y369" s="263"/>
      <c r="Z369" s="263"/>
      <c r="AA369" s="263"/>
      <c r="AB369" s="263"/>
      <c r="AC369" s="263"/>
      <c r="AD369" s="263"/>
      <c r="AE369" s="263"/>
      <c r="AF369" s="263"/>
      <c r="AG369" s="263"/>
      <c r="AH369" s="263"/>
      <c r="AI369" s="263"/>
      <c r="AJ369" s="263"/>
      <c r="AK369" s="263"/>
    </row>
    <row r="370">
      <c r="L370" s="262"/>
      <c r="Q370" s="262"/>
      <c r="R370" s="262"/>
      <c r="S370" s="262"/>
      <c r="T370" s="262"/>
      <c r="U370" s="262"/>
      <c r="V370" s="262"/>
      <c r="W370" s="263"/>
      <c r="X370" s="263"/>
      <c r="Y370" s="263"/>
      <c r="Z370" s="263"/>
      <c r="AA370" s="263"/>
      <c r="AB370" s="263"/>
      <c r="AC370" s="263"/>
      <c r="AD370" s="263"/>
      <c r="AE370" s="263"/>
      <c r="AF370" s="263"/>
      <c r="AG370" s="263"/>
      <c r="AH370" s="263"/>
      <c r="AI370" s="263"/>
      <c r="AJ370" s="263"/>
      <c r="AK370" s="263"/>
    </row>
    <row r="371">
      <c r="L371" s="262"/>
      <c r="Q371" s="262"/>
      <c r="R371" s="262"/>
      <c r="S371" s="262"/>
      <c r="T371" s="262"/>
      <c r="U371" s="262"/>
      <c r="V371" s="262"/>
      <c r="W371" s="263"/>
      <c r="X371" s="263"/>
      <c r="Y371" s="263"/>
      <c r="Z371" s="263"/>
      <c r="AA371" s="263"/>
      <c r="AB371" s="263"/>
      <c r="AC371" s="263"/>
      <c r="AD371" s="263"/>
      <c r="AE371" s="263"/>
      <c r="AF371" s="263"/>
      <c r="AG371" s="263"/>
      <c r="AH371" s="263"/>
      <c r="AI371" s="263"/>
      <c r="AJ371" s="263"/>
      <c r="AK371" s="263"/>
    </row>
    <row r="372">
      <c r="L372" s="262"/>
      <c r="Q372" s="262"/>
      <c r="R372" s="262"/>
      <c r="S372" s="262"/>
      <c r="T372" s="262"/>
      <c r="U372" s="262"/>
      <c r="V372" s="262"/>
      <c r="W372" s="263"/>
      <c r="X372" s="263"/>
      <c r="Y372" s="263"/>
      <c r="Z372" s="263"/>
      <c r="AA372" s="263"/>
      <c r="AB372" s="263"/>
      <c r="AC372" s="263"/>
      <c r="AD372" s="263"/>
      <c r="AE372" s="263"/>
      <c r="AF372" s="263"/>
      <c r="AG372" s="263"/>
      <c r="AH372" s="263"/>
      <c r="AI372" s="263"/>
      <c r="AJ372" s="263"/>
      <c r="AK372" s="263"/>
    </row>
    <row r="373">
      <c r="L373" s="262"/>
      <c r="Q373" s="262"/>
      <c r="R373" s="262"/>
      <c r="S373" s="262"/>
      <c r="T373" s="262"/>
      <c r="U373" s="262"/>
      <c r="V373" s="262"/>
      <c r="W373" s="263"/>
      <c r="X373" s="263"/>
      <c r="Y373" s="263"/>
      <c r="Z373" s="263"/>
      <c r="AA373" s="263"/>
      <c r="AB373" s="263"/>
      <c r="AC373" s="263"/>
      <c r="AD373" s="263"/>
      <c r="AE373" s="263"/>
      <c r="AF373" s="263"/>
      <c r="AG373" s="263"/>
      <c r="AH373" s="263"/>
      <c r="AI373" s="263"/>
      <c r="AJ373" s="263"/>
      <c r="AK373" s="263"/>
    </row>
    <row r="374">
      <c r="L374" s="262"/>
      <c r="Q374" s="262"/>
      <c r="R374" s="262"/>
      <c r="S374" s="262"/>
      <c r="T374" s="262"/>
      <c r="U374" s="262"/>
      <c r="V374" s="262"/>
      <c r="W374" s="263"/>
      <c r="X374" s="263"/>
      <c r="Y374" s="263"/>
      <c r="Z374" s="263"/>
      <c r="AA374" s="263"/>
      <c r="AB374" s="263"/>
      <c r="AC374" s="263"/>
      <c r="AD374" s="263"/>
      <c r="AE374" s="263"/>
      <c r="AF374" s="263"/>
      <c r="AG374" s="263"/>
      <c r="AH374" s="263"/>
      <c r="AI374" s="263"/>
      <c r="AJ374" s="263"/>
      <c r="AK374" s="263"/>
    </row>
    <row r="375">
      <c r="L375" s="262"/>
      <c r="Q375" s="262"/>
      <c r="R375" s="262"/>
      <c r="S375" s="262"/>
      <c r="T375" s="262"/>
      <c r="U375" s="262"/>
      <c r="V375" s="262"/>
      <c r="W375" s="263"/>
      <c r="X375" s="263"/>
      <c r="Y375" s="263"/>
      <c r="Z375" s="263"/>
      <c r="AA375" s="263"/>
      <c r="AB375" s="263"/>
      <c r="AC375" s="263"/>
      <c r="AD375" s="263"/>
      <c r="AE375" s="263"/>
      <c r="AF375" s="263"/>
      <c r="AG375" s="263"/>
      <c r="AH375" s="263"/>
      <c r="AI375" s="263"/>
      <c r="AJ375" s="263"/>
      <c r="AK375" s="263"/>
    </row>
    <row r="376">
      <c r="L376" s="262"/>
      <c r="Q376" s="262"/>
      <c r="R376" s="262"/>
      <c r="S376" s="262"/>
      <c r="T376" s="262"/>
      <c r="U376" s="262"/>
      <c r="V376" s="262"/>
      <c r="W376" s="263"/>
      <c r="X376" s="263"/>
      <c r="Y376" s="263"/>
      <c r="Z376" s="263"/>
      <c r="AA376" s="263"/>
      <c r="AB376" s="263"/>
      <c r="AC376" s="263"/>
      <c r="AD376" s="263"/>
      <c r="AE376" s="263"/>
      <c r="AF376" s="263"/>
      <c r="AG376" s="263"/>
      <c r="AH376" s="263"/>
      <c r="AI376" s="263"/>
      <c r="AJ376" s="263"/>
      <c r="AK376" s="263"/>
    </row>
    <row r="377">
      <c r="L377" s="262"/>
      <c r="Q377" s="262"/>
      <c r="R377" s="262"/>
      <c r="S377" s="262"/>
      <c r="T377" s="262"/>
      <c r="U377" s="262"/>
      <c r="V377" s="262"/>
      <c r="W377" s="263"/>
      <c r="X377" s="263"/>
      <c r="Y377" s="263"/>
      <c r="Z377" s="263"/>
      <c r="AA377" s="263"/>
      <c r="AB377" s="263"/>
      <c r="AC377" s="263"/>
      <c r="AD377" s="263"/>
      <c r="AE377" s="263"/>
      <c r="AF377" s="263"/>
      <c r="AG377" s="263"/>
      <c r="AH377" s="263"/>
      <c r="AI377" s="263"/>
      <c r="AJ377" s="263"/>
      <c r="AK377" s="263"/>
    </row>
    <row r="378">
      <c r="L378" s="262"/>
      <c r="Q378" s="262"/>
      <c r="R378" s="262"/>
      <c r="S378" s="262"/>
      <c r="T378" s="262"/>
      <c r="U378" s="262"/>
      <c r="V378" s="262"/>
      <c r="W378" s="263"/>
      <c r="X378" s="263"/>
      <c r="Y378" s="263"/>
      <c r="Z378" s="263"/>
      <c r="AA378" s="263"/>
      <c r="AB378" s="263"/>
      <c r="AC378" s="263"/>
      <c r="AD378" s="263"/>
      <c r="AE378" s="263"/>
      <c r="AF378" s="263"/>
      <c r="AG378" s="263"/>
      <c r="AH378" s="263"/>
      <c r="AI378" s="263"/>
      <c r="AJ378" s="263"/>
      <c r="AK378" s="263"/>
    </row>
    <row r="379">
      <c r="L379" s="262"/>
      <c r="Q379" s="262"/>
      <c r="R379" s="262"/>
      <c r="S379" s="262"/>
      <c r="T379" s="262"/>
      <c r="U379" s="262"/>
      <c r="V379" s="262"/>
      <c r="W379" s="263"/>
      <c r="X379" s="263"/>
      <c r="Y379" s="263"/>
      <c r="Z379" s="263"/>
      <c r="AA379" s="263"/>
      <c r="AB379" s="263"/>
      <c r="AC379" s="263"/>
      <c r="AD379" s="263"/>
      <c r="AE379" s="263"/>
      <c r="AF379" s="263"/>
      <c r="AG379" s="263"/>
      <c r="AH379" s="263"/>
      <c r="AI379" s="263"/>
      <c r="AJ379" s="263"/>
      <c r="AK379" s="263"/>
    </row>
    <row r="380">
      <c r="L380" s="262"/>
      <c r="Q380" s="262"/>
      <c r="R380" s="262"/>
      <c r="S380" s="262"/>
      <c r="T380" s="262"/>
      <c r="U380" s="262"/>
      <c r="V380" s="262"/>
      <c r="W380" s="263"/>
      <c r="X380" s="263"/>
      <c r="Y380" s="263"/>
      <c r="Z380" s="263"/>
      <c r="AA380" s="263"/>
      <c r="AB380" s="263"/>
      <c r="AC380" s="263"/>
      <c r="AD380" s="263"/>
      <c r="AE380" s="263"/>
      <c r="AF380" s="263"/>
      <c r="AG380" s="263"/>
      <c r="AH380" s="263"/>
      <c r="AI380" s="263"/>
      <c r="AJ380" s="263"/>
      <c r="AK380" s="263"/>
    </row>
    <row r="381">
      <c r="L381" s="262"/>
      <c r="Q381" s="262"/>
      <c r="R381" s="262"/>
      <c r="S381" s="262"/>
      <c r="T381" s="262"/>
      <c r="U381" s="262"/>
      <c r="V381" s="262"/>
      <c r="W381" s="263"/>
      <c r="X381" s="263"/>
      <c r="Y381" s="263"/>
      <c r="Z381" s="263"/>
      <c r="AA381" s="263"/>
      <c r="AB381" s="263"/>
      <c r="AC381" s="263"/>
      <c r="AD381" s="263"/>
      <c r="AE381" s="263"/>
      <c r="AF381" s="263"/>
      <c r="AG381" s="263"/>
      <c r="AH381" s="263"/>
      <c r="AI381" s="263"/>
      <c r="AJ381" s="263"/>
      <c r="AK381" s="263"/>
    </row>
    <row r="382">
      <c r="L382" s="262"/>
      <c r="Q382" s="262"/>
      <c r="R382" s="262"/>
      <c r="S382" s="262"/>
      <c r="T382" s="262"/>
      <c r="U382" s="262"/>
      <c r="V382" s="262"/>
      <c r="W382" s="263"/>
      <c r="X382" s="263"/>
      <c r="Y382" s="263"/>
      <c r="Z382" s="263"/>
      <c r="AA382" s="263"/>
      <c r="AB382" s="263"/>
      <c r="AC382" s="263"/>
      <c r="AD382" s="263"/>
      <c r="AE382" s="263"/>
      <c r="AF382" s="263"/>
      <c r="AG382" s="263"/>
      <c r="AH382" s="263"/>
      <c r="AI382" s="263"/>
      <c r="AJ382" s="263"/>
      <c r="AK382" s="263"/>
    </row>
    <row r="383">
      <c r="L383" s="262"/>
      <c r="Q383" s="262"/>
      <c r="R383" s="262"/>
      <c r="S383" s="262"/>
      <c r="T383" s="262"/>
      <c r="U383" s="262"/>
      <c r="V383" s="262"/>
      <c r="W383" s="263"/>
      <c r="X383" s="263"/>
      <c r="Y383" s="263"/>
      <c r="Z383" s="263"/>
      <c r="AA383" s="263"/>
      <c r="AB383" s="263"/>
      <c r="AC383" s="263"/>
      <c r="AD383" s="263"/>
      <c r="AE383" s="263"/>
      <c r="AF383" s="263"/>
      <c r="AG383" s="263"/>
      <c r="AH383" s="263"/>
      <c r="AI383" s="263"/>
      <c r="AJ383" s="263"/>
      <c r="AK383" s="263"/>
    </row>
    <row r="384">
      <c r="L384" s="262"/>
      <c r="Q384" s="262"/>
      <c r="R384" s="262"/>
      <c r="S384" s="262"/>
      <c r="T384" s="262"/>
      <c r="U384" s="262"/>
      <c r="V384" s="262"/>
      <c r="W384" s="263"/>
      <c r="X384" s="263"/>
      <c r="Y384" s="263"/>
      <c r="Z384" s="263"/>
      <c r="AA384" s="263"/>
      <c r="AB384" s="263"/>
      <c r="AC384" s="263"/>
      <c r="AD384" s="263"/>
      <c r="AE384" s="263"/>
      <c r="AF384" s="263"/>
      <c r="AG384" s="263"/>
      <c r="AH384" s="263"/>
      <c r="AI384" s="263"/>
      <c r="AJ384" s="263"/>
      <c r="AK384" s="263"/>
    </row>
    <row r="385">
      <c r="L385" s="262"/>
      <c r="Q385" s="262"/>
      <c r="R385" s="262"/>
      <c r="S385" s="262"/>
      <c r="T385" s="262"/>
      <c r="U385" s="262"/>
      <c r="V385" s="262"/>
      <c r="W385" s="263"/>
      <c r="X385" s="263"/>
      <c r="Y385" s="263"/>
      <c r="Z385" s="263"/>
      <c r="AA385" s="263"/>
      <c r="AB385" s="263"/>
      <c r="AC385" s="263"/>
      <c r="AD385" s="263"/>
      <c r="AE385" s="263"/>
      <c r="AF385" s="263"/>
      <c r="AG385" s="263"/>
      <c r="AH385" s="263"/>
      <c r="AI385" s="263"/>
      <c r="AJ385" s="263"/>
      <c r="AK385" s="263"/>
    </row>
    <row r="386">
      <c r="L386" s="262"/>
      <c r="Q386" s="262"/>
      <c r="R386" s="262"/>
      <c r="S386" s="262"/>
      <c r="T386" s="262"/>
      <c r="U386" s="262"/>
      <c r="V386" s="262"/>
      <c r="W386" s="263"/>
      <c r="X386" s="263"/>
      <c r="Y386" s="263"/>
      <c r="Z386" s="263"/>
      <c r="AA386" s="263"/>
      <c r="AB386" s="263"/>
      <c r="AC386" s="263"/>
      <c r="AD386" s="263"/>
      <c r="AE386" s="263"/>
      <c r="AF386" s="263"/>
      <c r="AG386" s="263"/>
      <c r="AH386" s="263"/>
      <c r="AI386" s="263"/>
      <c r="AJ386" s="263"/>
      <c r="AK386" s="263"/>
    </row>
    <row r="387">
      <c r="L387" s="262"/>
      <c r="Q387" s="262"/>
      <c r="R387" s="262"/>
      <c r="S387" s="262"/>
      <c r="T387" s="262"/>
      <c r="U387" s="262"/>
      <c r="V387" s="262"/>
      <c r="W387" s="263"/>
      <c r="X387" s="263"/>
      <c r="Y387" s="263"/>
      <c r="Z387" s="263"/>
      <c r="AA387" s="263"/>
      <c r="AB387" s="263"/>
      <c r="AC387" s="263"/>
      <c r="AD387" s="263"/>
      <c r="AE387" s="263"/>
      <c r="AF387" s="263"/>
      <c r="AG387" s="263"/>
      <c r="AH387" s="263"/>
      <c r="AI387" s="263"/>
      <c r="AJ387" s="263"/>
      <c r="AK387" s="263"/>
    </row>
    <row r="388">
      <c r="L388" s="262"/>
      <c r="Q388" s="262"/>
      <c r="R388" s="262"/>
      <c r="S388" s="262"/>
      <c r="T388" s="262"/>
      <c r="U388" s="262"/>
      <c r="V388" s="262"/>
      <c r="W388" s="263"/>
      <c r="X388" s="263"/>
      <c r="Y388" s="263"/>
      <c r="Z388" s="263"/>
      <c r="AA388" s="263"/>
      <c r="AB388" s="263"/>
      <c r="AC388" s="263"/>
      <c r="AD388" s="263"/>
      <c r="AE388" s="263"/>
      <c r="AF388" s="263"/>
      <c r="AG388" s="263"/>
      <c r="AH388" s="263"/>
      <c r="AI388" s="263"/>
      <c r="AJ388" s="263"/>
      <c r="AK388" s="263"/>
    </row>
    <row r="389">
      <c r="L389" s="262"/>
      <c r="Q389" s="262"/>
      <c r="R389" s="262"/>
      <c r="S389" s="262"/>
      <c r="T389" s="262"/>
      <c r="U389" s="262"/>
      <c r="V389" s="262"/>
      <c r="W389" s="263"/>
      <c r="X389" s="263"/>
      <c r="Y389" s="263"/>
      <c r="Z389" s="263"/>
      <c r="AA389" s="263"/>
      <c r="AB389" s="263"/>
      <c r="AC389" s="263"/>
      <c r="AD389" s="263"/>
      <c r="AE389" s="263"/>
      <c r="AF389" s="263"/>
      <c r="AG389" s="263"/>
      <c r="AH389" s="263"/>
      <c r="AI389" s="263"/>
      <c r="AJ389" s="263"/>
      <c r="AK389" s="263"/>
    </row>
    <row r="390">
      <c r="L390" s="262"/>
      <c r="Q390" s="262"/>
      <c r="R390" s="262"/>
      <c r="S390" s="262"/>
      <c r="T390" s="262"/>
      <c r="U390" s="262"/>
      <c r="V390" s="262"/>
      <c r="W390" s="263"/>
      <c r="X390" s="263"/>
      <c r="Y390" s="263"/>
      <c r="Z390" s="263"/>
      <c r="AA390" s="263"/>
      <c r="AB390" s="263"/>
      <c r="AC390" s="263"/>
      <c r="AD390" s="263"/>
      <c r="AE390" s="263"/>
      <c r="AF390" s="263"/>
      <c r="AG390" s="263"/>
      <c r="AH390" s="263"/>
      <c r="AI390" s="263"/>
      <c r="AJ390" s="263"/>
      <c r="AK390" s="263"/>
    </row>
    <row r="391">
      <c r="L391" s="262"/>
      <c r="Q391" s="262"/>
      <c r="R391" s="262"/>
      <c r="S391" s="262"/>
      <c r="T391" s="262"/>
      <c r="U391" s="262"/>
      <c r="V391" s="262"/>
      <c r="W391" s="263"/>
      <c r="X391" s="263"/>
      <c r="Y391" s="263"/>
      <c r="Z391" s="263"/>
      <c r="AA391" s="263"/>
      <c r="AB391" s="263"/>
      <c r="AC391" s="263"/>
      <c r="AD391" s="263"/>
      <c r="AE391" s="263"/>
      <c r="AF391" s="263"/>
      <c r="AG391" s="263"/>
      <c r="AH391" s="263"/>
      <c r="AI391" s="263"/>
      <c r="AJ391" s="263"/>
      <c r="AK391" s="263"/>
    </row>
    <row r="392">
      <c r="L392" s="262"/>
      <c r="Q392" s="262"/>
      <c r="R392" s="262"/>
      <c r="S392" s="262"/>
      <c r="T392" s="262"/>
      <c r="U392" s="262"/>
      <c r="V392" s="262"/>
      <c r="W392" s="263"/>
      <c r="X392" s="263"/>
      <c r="Y392" s="263"/>
      <c r="Z392" s="263"/>
      <c r="AA392" s="263"/>
      <c r="AB392" s="263"/>
      <c r="AC392" s="263"/>
      <c r="AD392" s="263"/>
      <c r="AE392" s="263"/>
      <c r="AF392" s="263"/>
      <c r="AG392" s="263"/>
      <c r="AH392" s="263"/>
      <c r="AI392" s="263"/>
      <c r="AJ392" s="263"/>
      <c r="AK392" s="263"/>
    </row>
    <row r="393">
      <c r="L393" s="262"/>
      <c r="Q393" s="262"/>
      <c r="R393" s="262"/>
      <c r="S393" s="262"/>
      <c r="T393" s="262"/>
      <c r="U393" s="262"/>
      <c r="V393" s="262"/>
      <c r="W393" s="263"/>
      <c r="X393" s="263"/>
      <c r="Y393" s="263"/>
      <c r="Z393" s="263"/>
      <c r="AA393" s="263"/>
      <c r="AB393" s="263"/>
      <c r="AC393" s="263"/>
      <c r="AD393" s="263"/>
      <c r="AE393" s="263"/>
      <c r="AF393" s="263"/>
      <c r="AG393" s="263"/>
      <c r="AH393" s="263"/>
      <c r="AI393" s="263"/>
      <c r="AJ393" s="263"/>
      <c r="AK393" s="263"/>
    </row>
    <row r="394">
      <c r="L394" s="262"/>
      <c r="Q394" s="262"/>
      <c r="R394" s="262"/>
      <c r="S394" s="262"/>
      <c r="T394" s="262"/>
      <c r="U394" s="262"/>
      <c r="V394" s="262"/>
      <c r="W394" s="263"/>
      <c r="X394" s="263"/>
      <c r="Y394" s="263"/>
      <c r="Z394" s="263"/>
      <c r="AA394" s="263"/>
      <c r="AB394" s="263"/>
      <c r="AC394" s="263"/>
      <c r="AD394" s="263"/>
      <c r="AE394" s="263"/>
      <c r="AF394" s="263"/>
      <c r="AG394" s="263"/>
      <c r="AH394" s="263"/>
      <c r="AI394" s="263"/>
      <c r="AJ394" s="263"/>
      <c r="AK394" s="263"/>
    </row>
    <row r="395">
      <c r="L395" s="262"/>
      <c r="Q395" s="262"/>
      <c r="R395" s="262"/>
      <c r="S395" s="262"/>
      <c r="T395" s="262"/>
      <c r="U395" s="262"/>
      <c r="V395" s="262"/>
      <c r="W395" s="263"/>
      <c r="X395" s="263"/>
      <c r="Y395" s="263"/>
      <c r="Z395" s="263"/>
      <c r="AA395" s="263"/>
      <c r="AB395" s="263"/>
      <c r="AC395" s="263"/>
      <c r="AD395" s="263"/>
      <c r="AE395" s="263"/>
      <c r="AF395" s="263"/>
      <c r="AG395" s="263"/>
      <c r="AH395" s="263"/>
      <c r="AI395" s="263"/>
      <c r="AJ395" s="263"/>
      <c r="AK395" s="263"/>
    </row>
    <row r="396">
      <c r="L396" s="262"/>
      <c r="Q396" s="262"/>
      <c r="R396" s="262"/>
      <c r="S396" s="262"/>
      <c r="T396" s="262"/>
      <c r="U396" s="262"/>
      <c r="V396" s="262"/>
      <c r="W396" s="263"/>
      <c r="X396" s="263"/>
      <c r="Y396" s="263"/>
      <c r="Z396" s="263"/>
      <c r="AA396" s="263"/>
      <c r="AB396" s="263"/>
      <c r="AC396" s="263"/>
      <c r="AD396" s="263"/>
      <c r="AE396" s="263"/>
      <c r="AF396" s="263"/>
      <c r="AG396" s="263"/>
      <c r="AH396" s="263"/>
      <c r="AI396" s="263"/>
      <c r="AJ396" s="263"/>
      <c r="AK396" s="263"/>
    </row>
    <row r="397">
      <c r="L397" s="262"/>
      <c r="Q397" s="262"/>
      <c r="R397" s="262"/>
      <c r="S397" s="262"/>
      <c r="T397" s="262"/>
      <c r="U397" s="262"/>
      <c r="V397" s="262"/>
      <c r="W397" s="263"/>
      <c r="X397" s="263"/>
      <c r="Y397" s="263"/>
      <c r="Z397" s="263"/>
      <c r="AA397" s="263"/>
      <c r="AB397" s="263"/>
      <c r="AC397" s="263"/>
      <c r="AD397" s="263"/>
      <c r="AE397" s="263"/>
      <c r="AF397" s="263"/>
      <c r="AG397" s="263"/>
      <c r="AH397" s="263"/>
      <c r="AI397" s="263"/>
      <c r="AJ397" s="263"/>
      <c r="AK397" s="263"/>
    </row>
    <row r="398">
      <c r="L398" s="262"/>
      <c r="Q398" s="262"/>
      <c r="R398" s="262"/>
      <c r="S398" s="262"/>
      <c r="T398" s="262"/>
      <c r="U398" s="262"/>
      <c r="V398" s="262"/>
      <c r="W398" s="263"/>
      <c r="X398" s="263"/>
      <c r="Y398" s="263"/>
      <c r="Z398" s="263"/>
      <c r="AA398" s="263"/>
      <c r="AB398" s="263"/>
      <c r="AC398" s="263"/>
      <c r="AD398" s="263"/>
      <c r="AE398" s="263"/>
      <c r="AF398" s="263"/>
      <c r="AG398" s="263"/>
      <c r="AH398" s="263"/>
      <c r="AI398" s="263"/>
      <c r="AJ398" s="263"/>
      <c r="AK398" s="263"/>
    </row>
    <row r="399">
      <c r="L399" s="262"/>
      <c r="Q399" s="262"/>
      <c r="R399" s="262"/>
      <c r="S399" s="262"/>
      <c r="T399" s="262"/>
      <c r="U399" s="262"/>
      <c r="V399" s="262"/>
      <c r="W399" s="263"/>
      <c r="X399" s="263"/>
      <c r="Y399" s="263"/>
      <c r="Z399" s="263"/>
      <c r="AA399" s="263"/>
      <c r="AB399" s="263"/>
      <c r="AC399" s="263"/>
      <c r="AD399" s="263"/>
      <c r="AE399" s="263"/>
      <c r="AF399" s="263"/>
      <c r="AG399" s="263"/>
      <c r="AH399" s="263"/>
      <c r="AI399" s="263"/>
      <c r="AJ399" s="263"/>
      <c r="AK399" s="263"/>
    </row>
    <row r="400">
      <c r="L400" s="262"/>
      <c r="Q400" s="262"/>
      <c r="R400" s="262"/>
      <c r="S400" s="262"/>
      <c r="T400" s="262"/>
      <c r="U400" s="262"/>
      <c r="V400" s="262"/>
      <c r="W400" s="263"/>
      <c r="X400" s="263"/>
      <c r="Y400" s="263"/>
      <c r="Z400" s="263"/>
      <c r="AA400" s="263"/>
      <c r="AB400" s="263"/>
      <c r="AC400" s="263"/>
      <c r="AD400" s="263"/>
      <c r="AE400" s="263"/>
      <c r="AF400" s="263"/>
      <c r="AG400" s="263"/>
      <c r="AH400" s="263"/>
      <c r="AI400" s="263"/>
      <c r="AJ400" s="263"/>
      <c r="AK400" s="263"/>
    </row>
    <row r="401">
      <c r="L401" s="262"/>
      <c r="Q401" s="262"/>
      <c r="R401" s="262"/>
      <c r="S401" s="262"/>
      <c r="T401" s="262"/>
      <c r="U401" s="262"/>
      <c r="V401" s="262"/>
      <c r="W401" s="263"/>
      <c r="X401" s="263"/>
      <c r="Y401" s="263"/>
      <c r="Z401" s="263"/>
      <c r="AA401" s="263"/>
      <c r="AB401" s="263"/>
      <c r="AC401" s="263"/>
      <c r="AD401" s="263"/>
      <c r="AE401" s="263"/>
      <c r="AF401" s="263"/>
      <c r="AG401" s="263"/>
      <c r="AH401" s="263"/>
      <c r="AI401" s="263"/>
      <c r="AJ401" s="263"/>
      <c r="AK401" s="263"/>
    </row>
    <row r="402">
      <c r="L402" s="262"/>
      <c r="Q402" s="262"/>
      <c r="R402" s="262"/>
      <c r="S402" s="262"/>
      <c r="T402" s="262"/>
      <c r="U402" s="262"/>
      <c r="V402" s="262"/>
      <c r="W402" s="263"/>
      <c r="X402" s="263"/>
      <c r="Y402" s="263"/>
      <c r="Z402" s="263"/>
      <c r="AA402" s="263"/>
      <c r="AB402" s="263"/>
      <c r="AC402" s="263"/>
      <c r="AD402" s="263"/>
      <c r="AE402" s="263"/>
      <c r="AF402" s="263"/>
      <c r="AG402" s="263"/>
      <c r="AH402" s="263"/>
      <c r="AI402" s="263"/>
      <c r="AJ402" s="263"/>
      <c r="AK402" s="263"/>
    </row>
    <row r="403">
      <c r="L403" s="262"/>
      <c r="Q403" s="262"/>
      <c r="R403" s="262"/>
      <c r="S403" s="262"/>
      <c r="T403" s="262"/>
      <c r="U403" s="262"/>
      <c r="V403" s="262"/>
      <c r="W403" s="263"/>
      <c r="X403" s="263"/>
      <c r="Y403" s="263"/>
      <c r="Z403" s="263"/>
      <c r="AA403" s="263"/>
      <c r="AB403" s="263"/>
      <c r="AC403" s="263"/>
      <c r="AD403" s="263"/>
      <c r="AE403" s="263"/>
      <c r="AF403" s="263"/>
      <c r="AG403" s="263"/>
      <c r="AH403" s="263"/>
      <c r="AI403" s="263"/>
      <c r="AJ403" s="263"/>
      <c r="AK403" s="263"/>
    </row>
    <row r="404">
      <c r="L404" s="262"/>
      <c r="Q404" s="262"/>
      <c r="R404" s="262"/>
      <c r="S404" s="262"/>
      <c r="T404" s="262"/>
      <c r="U404" s="262"/>
      <c r="V404" s="262"/>
      <c r="W404" s="263"/>
      <c r="X404" s="263"/>
      <c r="Y404" s="263"/>
      <c r="Z404" s="263"/>
      <c r="AA404" s="263"/>
      <c r="AB404" s="263"/>
      <c r="AC404" s="263"/>
      <c r="AD404" s="263"/>
      <c r="AE404" s="263"/>
      <c r="AF404" s="263"/>
      <c r="AG404" s="263"/>
      <c r="AH404" s="263"/>
      <c r="AI404" s="263"/>
      <c r="AJ404" s="263"/>
      <c r="AK404" s="263"/>
    </row>
    <row r="405">
      <c r="L405" s="262"/>
      <c r="Q405" s="262"/>
      <c r="R405" s="262"/>
      <c r="S405" s="262"/>
      <c r="T405" s="262"/>
      <c r="U405" s="262"/>
      <c r="V405" s="262"/>
      <c r="W405" s="263"/>
      <c r="X405" s="263"/>
      <c r="Y405" s="263"/>
      <c r="Z405" s="263"/>
      <c r="AA405" s="263"/>
      <c r="AB405" s="263"/>
      <c r="AC405" s="263"/>
      <c r="AD405" s="263"/>
      <c r="AE405" s="263"/>
      <c r="AF405" s="263"/>
      <c r="AG405" s="263"/>
      <c r="AH405" s="263"/>
      <c r="AI405" s="263"/>
      <c r="AJ405" s="263"/>
      <c r="AK405" s="263"/>
    </row>
    <row r="406">
      <c r="L406" s="262"/>
      <c r="Q406" s="262"/>
      <c r="R406" s="262"/>
      <c r="S406" s="262"/>
      <c r="T406" s="262"/>
      <c r="U406" s="262"/>
      <c r="V406" s="262"/>
      <c r="W406" s="263"/>
      <c r="X406" s="263"/>
      <c r="Y406" s="263"/>
      <c r="Z406" s="263"/>
      <c r="AA406" s="263"/>
      <c r="AB406" s="263"/>
      <c r="AC406" s="263"/>
      <c r="AD406" s="263"/>
      <c r="AE406" s="263"/>
      <c r="AF406" s="263"/>
      <c r="AG406" s="263"/>
      <c r="AH406" s="263"/>
      <c r="AI406" s="263"/>
      <c r="AJ406" s="263"/>
      <c r="AK406" s="263"/>
    </row>
    <row r="407">
      <c r="L407" s="262"/>
      <c r="Q407" s="262"/>
      <c r="R407" s="262"/>
      <c r="S407" s="262"/>
      <c r="T407" s="262"/>
      <c r="U407" s="262"/>
      <c r="V407" s="262"/>
      <c r="W407" s="263"/>
      <c r="X407" s="263"/>
      <c r="Y407" s="263"/>
      <c r="Z407" s="263"/>
      <c r="AA407" s="263"/>
      <c r="AB407" s="263"/>
      <c r="AC407" s="263"/>
      <c r="AD407" s="263"/>
      <c r="AE407" s="263"/>
      <c r="AF407" s="263"/>
      <c r="AG407" s="263"/>
      <c r="AH407" s="263"/>
      <c r="AI407" s="263"/>
      <c r="AJ407" s="263"/>
      <c r="AK407" s="263"/>
    </row>
    <row r="408">
      <c r="L408" s="262"/>
      <c r="Q408" s="262"/>
      <c r="R408" s="262"/>
      <c r="S408" s="262"/>
      <c r="T408" s="262"/>
      <c r="U408" s="262"/>
      <c r="V408" s="262"/>
      <c r="W408" s="263"/>
      <c r="X408" s="263"/>
      <c r="Y408" s="263"/>
      <c r="Z408" s="263"/>
      <c r="AA408" s="263"/>
      <c r="AB408" s="263"/>
      <c r="AC408" s="263"/>
      <c r="AD408" s="263"/>
      <c r="AE408" s="263"/>
      <c r="AF408" s="263"/>
      <c r="AG408" s="263"/>
      <c r="AH408" s="263"/>
      <c r="AI408" s="263"/>
      <c r="AJ408" s="263"/>
      <c r="AK408" s="263"/>
    </row>
    <row r="409">
      <c r="L409" s="262"/>
      <c r="Q409" s="262"/>
      <c r="R409" s="262"/>
      <c r="S409" s="262"/>
      <c r="T409" s="262"/>
      <c r="U409" s="262"/>
      <c r="V409" s="262"/>
      <c r="W409" s="263"/>
      <c r="X409" s="263"/>
      <c r="Y409" s="263"/>
      <c r="Z409" s="263"/>
      <c r="AA409" s="263"/>
      <c r="AB409" s="263"/>
      <c r="AC409" s="263"/>
      <c r="AD409" s="263"/>
      <c r="AE409" s="263"/>
      <c r="AF409" s="263"/>
      <c r="AG409" s="263"/>
      <c r="AH409" s="263"/>
      <c r="AI409" s="263"/>
      <c r="AJ409" s="263"/>
      <c r="AK409" s="263"/>
    </row>
    <row r="410">
      <c r="L410" s="262"/>
      <c r="Q410" s="262"/>
      <c r="R410" s="262"/>
      <c r="S410" s="262"/>
      <c r="T410" s="262"/>
      <c r="U410" s="262"/>
      <c r="V410" s="262"/>
      <c r="W410" s="263"/>
      <c r="X410" s="263"/>
      <c r="Y410" s="263"/>
      <c r="Z410" s="263"/>
      <c r="AA410" s="263"/>
      <c r="AB410" s="263"/>
      <c r="AC410" s="263"/>
      <c r="AD410" s="263"/>
      <c r="AE410" s="263"/>
      <c r="AF410" s="263"/>
      <c r="AG410" s="263"/>
      <c r="AH410" s="263"/>
      <c r="AI410" s="263"/>
      <c r="AJ410" s="263"/>
      <c r="AK410" s="263"/>
    </row>
    <row r="411">
      <c r="L411" s="262"/>
      <c r="Q411" s="262"/>
      <c r="R411" s="262"/>
      <c r="S411" s="262"/>
      <c r="T411" s="262"/>
      <c r="U411" s="262"/>
      <c r="V411" s="262"/>
      <c r="W411" s="263"/>
      <c r="X411" s="263"/>
      <c r="Y411" s="263"/>
      <c r="Z411" s="263"/>
      <c r="AA411" s="263"/>
      <c r="AB411" s="263"/>
      <c r="AC411" s="263"/>
      <c r="AD411" s="263"/>
      <c r="AE411" s="263"/>
      <c r="AF411" s="263"/>
      <c r="AG411" s="263"/>
      <c r="AH411" s="263"/>
      <c r="AI411" s="263"/>
      <c r="AJ411" s="263"/>
      <c r="AK411" s="263"/>
    </row>
    <row r="412">
      <c r="L412" s="262"/>
      <c r="Q412" s="262"/>
      <c r="R412" s="262"/>
      <c r="S412" s="262"/>
      <c r="T412" s="262"/>
      <c r="U412" s="262"/>
      <c r="V412" s="262"/>
      <c r="W412" s="263"/>
      <c r="X412" s="263"/>
      <c r="Y412" s="263"/>
      <c r="Z412" s="263"/>
      <c r="AA412" s="263"/>
      <c r="AB412" s="263"/>
      <c r="AC412" s="263"/>
      <c r="AD412" s="263"/>
      <c r="AE412" s="263"/>
      <c r="AF412" s="263"/>
      <c r="AG412" s="263"/>
      <c r="AH412" s="263"/>
      <c r="AI412" s="263"/>
      <c r="AJ412" s="263"/>
      <c r="AK412" s="263"/>
    </row>
    <row r="413">
      <c r="L413" s="262"/>
      <c r="Q413" s="262"/>
      <c r="R413" s="262"/>
      <c r="S413" s="262"/>
      <c r="T413" s="262"/>
      <c r="U413" s="262"/>
      <c r="V413" s="262"/>
      <c r="W413" s="263"/>
      <c r="X413" s="263"/>
      <c r="Y413" s="263"/>
      <c r="Z413" s="263"/>
      <c r="AA413" s="263"/>
      <c r="AB413" s="263"/>
      <c r="AC413" s="263"/>
      <c r="AD413" s="263"/>
      <c r="AE413" s="263"/>
      <c r="AF413" s="263"/>
      <c r="AG413" s="263"/>
      <c r="AH413" s="263"/>
      <c r="AI413" s="263"/>
      <c r="AJ413" s="263"/>
      <c r="AK413" s="263"/>
    </row>
    <row r="414">
      <c r="L414" s="262"/>
      <c r="Q414" s="262"/>
      <c r="R414" s="262"/>
      <c r="S414" s="262"/>
      <c r="T414" s="262"/>
      <c r="U414" s="262"/>
      <c r="V414" s="262"/>
      <c r="W414" s="263"/>
      <c r="X414" s="263"/>
      <c r="Y414" s="263"/>
      <c r="Z414" s="263"/>
      <c r="AA414" s="263"/>
      <c r="AB414" s="263"/>
      <c r="AC414" s="263"/>
      <c r="AD414" s="263"/>
      <c r="AE414" s="263"/>
      <c r="AF414" s="263"/>
      <c r="AG414" s="263"/>
      <c r="AH414" s="263"/>
      <c r="AI414" s="263"/>
      <c r="AJ414" s="263"/>
      <c r="AK414" s="263"/>
    </row>
    <row r="415">
      <c r="L415" s="262"/>
      <c r="Q415" s="262"/>
      <c r="R415" s="262"/>
      <c r="S415" s="262"/>
      <c r="T415" s="262"/>
      <c r="U415" s="262"/>
      <c r="V415" s="262"/>
      <c r="W415" s="263"/>
      <c r="X415" s="263"/>
      <c r="Y415" s="263"/>
      <c r="Z415" s="263"/>
      <c r="AA415" s="263"/>
      <c r="AB415" s="263"/>
      <c r="AC415" s="263"/>
      <c r="AD415" s="263"/>
      <c r="AE415" s="263"/>
      <c r="AF415" s="263"/>
      <c r="AG415" s="263"/>
      <c r="AH415" s="263"/>
      <c r="AI415" s="263"/>
      <c r="AJ415" s="263"/>
      <c r="AK415" s="263"/>
    </row>
    <row r="416">
      <c r="L416" s="262"/>
      <c r="Q416" s="262"/>
      <c r="R416" s="262"/>
      <c r="S416" s="262"/>
      <c r="T416" s="262"/>
      <c r="U416" s="262"/>
      <c r="V416" s="262"/>
      <c r="W416" s="263"/>
      <c r="X416" s="263"/>
      <c r="Y416" s="263"/>
      <c r="Z416" s="263"/>
      <c r="AA416" s="263"/>
      <c r="AB416" s="263"/>
      <c r="AC416" s="263"/>
      <c r="AD416" s="263"/>
      <c r="AE416" s="263"/>
      <c r="AF416" s="263"/>
      <c r="AG416" s="263"/>
      <c r="AH416" s="263"/>
      <c r="AI416" s="263"/>
      <c r="AJ416" s="263"/>
      <c r="AK416" s="263"/>
    </row>
    <row r="417">
      <c r="L417" s="262"/>
      <c r="Q417" s="262"/>
      <c r="R417" s="262"/>
      <c r="S417" s="262"/>
      <c r="T417" s="262"/>
      <c r="U417" s="262"/>
      <c r="V417" s="262"/>
      <c r="W417" s="263"/>
      <c r="X417" s="263"/>
      <c r="Y417" s="263"/>
      <c r="Z417" s="263"/>
      <c r="AA417" s="263"/>
      <c r="AB417" s="263"/>
      <c r="AC417" s="263"/>
      <c r="AD417" s="263"/>
      <c r="AE417" s="263"/>
      <c r="AF417" s="263"/>
      <c r="AG417" s="263"/>
      <c r="AH417" s="263"/>
      <c r="AI417" s="263"/>
      <c r="AJ417" s="263"/>
      <c r="AK417" s="263"/>
    </row>
    <row r="418">
      <c r="L418" s="262"/>
      <c r="Q418" s="262"/>
      <c r="R418" s="262"/>
      <c r="S418" s="262"/>
      <c r="T418" s="262"/>
      <c r="U418" s="262"/>
      <c r="V418" s="262"/>
      <c r="W418" s="263"/>
      <c r="X418" s="263"/>
      <c r="Y418" s="263"/>
      <c r="Z418" s="263"/>
      <c r="AA418" s="263"/>
      <c r="AB418" s="263"/>
      <c r="AC418" s="263"/>
      <c r="AD418" s="263"/>
      <c r="AE418" s="263"/>
      <c r="AF418" s="263"/>
      <c r="AG418" s="263"/>
      <c r="AH418" s="263"/>
      <c r="AI418" s="263"/>
      <c r="AJ418" s="263"/>
      <c r="AK418" s="263"/>
    </row>
    <row r="419">
      <c r="L419" s="262"/>
      <c r="Q419" s="262"/>
      <c r="R419" s="262"/>
      <c r="S419" s="262"/>
      <c r="T419" s="262"/>
      <c r="U419" s="262"/>
      <c r="V419" s="262"/>
      <c r="W419" s="263"/>
      <c r="X419" s="263"/>
      <c r="Y419" s="263"/>
      <c r="Z419" s="263"/>
      <c r="AA419" s="263"/>
      <c r="AB419" s="263"/>
      <c r="AC419" s="263"/>
      <c r="AD419" s="263"/>
      <c r="AE419" s="263"/>
      <c r="AF419" s="263"/>
      <c r="AG419" s="263"/>
      <c r="AH419" s="263"/>
      <c r="AI419" s="263"/>
      <c r="AJ419" s="263"/>
      <c r="AK419" s="263"/>
    </row>
    <row r="420">
      <c r="L420" s="262"/>
      <c r="Q420" s="262"/>
      <c r="R420" s="262"/>
      <c r="S420" s="262"/>
      <c r="T420" s="262"/>
      <c r="U420" s="262"/>
      <c r="V420" s="262"/>
      <c r="W420" s="263"/>
      <c r="X420" s="263"/>
      <c r="Y420" s="263"/>
      <c r="Z420" s="263"/>
      <c r="AA420" s="263"/>
      <c r="AB420" s="263"/>
      <c r="AC420" s="263"/>
      <c r="AD420" s="263"/>
      <c r="AE420" s="263"/>
      <c r="AF420" s="263"/>
      <c r="AG420" s="263"/>
      <c r="AH420" s="263"/>
      <c r="AI420" s="263"/>
      <c r="AJ420" s="263"/>
      <c r="AK420" s="263"/>
    </row>
    <row r="421">
      <c r="L421" s="262"/>
      <c r="Q421" s="262"/>
      <c r="R421" s="262"/>
      <c r="S421" s="262"/>
      <c r="T421" s="262"/>
      <c r="U421" s="262"/>
      <c r="V421" s="262"/>
      <c r="W421" s="263"/>
      <c r="X421" s="263"/>
      <c r="Y421" s="263"/>
      <c r="Z421" s="263"/>
      <c r="AA421" s="263"/>
      <c r="AB421" s="263"/>
      <c r="AC421" s="263"/>
      <c r="AD421" s="263"/>
      <c r="AE421" s="263"/>
      <c r="AF421" s="263"/>
      <c r="AG421" s="263"/>
      <c r="AH421" s="263"/>
      <c r="AI421" s="263"/>
      <c r="AJ421" s="263"/>
      <c r="AK421" s="263"/>
    </row>
    <row r="422">
      <c r="L422" s="262"/>
      <c r="Q422" s="262"/>
      <c r="R422" s="262"/>
      <c r="S422" s="262"/>
      <c r="T422" s="262"/>
      <c r="U422" s="262"/>
      <c r="V422" s="262"/>
      <c r="W422" s="263"/>
      <c r="X422" s="263"/>
      <c r="Y422" s="263"/>
      <c r="Z422" s="263"/>
      <c r="AA422" s="263"/>
      <c r="AB422" s="263"/>
      <c r="AC422" s="263"/>
      <c r="AD422" s="263"/>
      <c r="AE422" s="263"/>
      <c r="AF422" s="263"/>
      <c r="AG422" s="263"/>
      <c r="AH422" s="263"/>
      <c r="AI422" s="263"/>
      <c r="AJ422" s="263"/>
      <c r="AK422" s="263"/>
    </row>
    <row r="423">
      <c r="L423" s="262"/>
      <c r="Q423" s="262"/>
      <c r="R423" s="262"/>
      <c r="S423" s="262"/>
      <c r="T423" s="262"/>
      <c r="U423" s="262"/>
      <c r="V423" s="262"/>
      <c r="W423" s="263"/>
      <c r="X423" s="263"/>
      <c r="Y423" s="263"/>
      <c r="Z423" s="263"/>
      <c r="AA423" s="263"/>
      <c r="AB423" s="263"/>
      <c r="AC423" s="263"/>
      <c r="AD423" s="263"/>
      <c r="AE423" s="263"/>
      <c r="AF423" s="263"/>
      <c r="AG423" s="263"/>
      <c r="AH423" s="263"/>
      <c r="AI423" s="263"/>
      <c r="AJ423" s="263"/>
      <c r="AK423" s="263"/>
    </row>
    <row r="424">
      <c r="L424" s="262"/>
      <c r="Q424" s="262"/>
      <c r="R424" s="262"/>
      <c r="S424" s="262"/>
      <c r="T424" s="262"/>
      <c r="U424" s="262"/>
      <c r="V424" s="262"/>
      <c r="W424" s="263"/>
      <c r="X424" s="263"/>
      <c r="Y424" s="263"/>
      <c r="Z424" s="263"/>
      <c r="AA424" s="263"/>
      <c r="AB424" s="263"/>
      <c r="AC424" s="263"/>
      <c r="AD424" s="263"/>
      <c r="AE424" s="263"/>
      <c r="AF424" s="263"/>
      <c r="AG424" s="263"/>
      <c r="AH424" s="263"/>
      <c r="AI424" s="263"/>
      <c r="AJ424" s="263"/>
      <c r="AK424" s="263"/>
    </row>
    <row r="425">
      <c r="L425" s="262"/>
      <c r="Q425" s="262"/>
      <c r="R425" s="262"/>
      <c r="S425" s="262"/>
      <c r="T425" s="262"/>
      <c r="U425" s="262"/>
      <c r="V425" s="262"/>
      <c r="W425" s="263"/>
      <c r="X425" s="263"/>
      <c r="Y425" s="263"/>
      <c r="Z425" s="263"/>
      <c r="AA425" s="263"/>
      <c r="AB425" s="263"/>
      <c r="AC425" s="263"/>
      <c r="AD425" s="263"/>
      <c r="AE425" s="263"/>
      <c r="AF425" s="263"/>
      <c r="AG425" s="263"/>
      <c r="AH425" s="263"/>
      <c r="AI425" s="263"/>
      <c r="AJ425" s="263"/>
      <c r="AK425" s="263"/>
    </row>
    <row r="426">
      <c r="L426" s="262"/>
      <c r="Q426" s="262"/>
      <c r="R426" s="262"/>
      <c r="S426" s="262"/>
      <c r="T426" s="262"/>
      <c r="U426" s="262"/>
      <c r="V426" s="262"/>
      <c r="W426" s="263"/>
      <c r="X426" s="263"/>
      <c r="Y426" s="263"/>
      <c r="Z426" s="263"/>
      <c r="AA426" s="263"/>
      <c r="AB426" s="263"/>
      <c r="AC426" s="263"/>
      <c r="AD426" s="263"/>
      <c r="AE426" s="263"/>
      <c r="AF426" s="263"/>
      <c r="AG426" s="263"/>
      <c r="AH426" s="263"/>
      <c r="AI426" s="263"/>
      <c r="AJ426" s="263"/>
      <c r="AK426" s="263"/>
    </row>
    <row r="427">
      <c r="L427" s="262"/>
      <c r="Q427" s="262"/>
      <c r="R427" s="262"/>
      <c r="S427" s="262"/>
      <c r="T427" s="262"/>
      <c r="U427" s="262"/>
      <c r="V427" s="262"/>
      <c r="W427" s="263"/>
      <c r="X427" s="263"/>
      <c r="Y427" s="263"/>
      <c r="Z427" s="263"/>
      <c r="AA427" s="263"/>
      <c r="AB427" s="263"/>
      <c r="AC427" s="263"/>
      <c r="AD427" s="263"/>
      <c r="AE427" s="263"/>
      <c r="AF427" s="263"/>
      <c r="AG427" s="263"/>
      <c r="AH427" s="263"/>
      <c r="AI427" s="263"/>
      <c r="AJ427" s="263"/>
      <c r="AK427" s="263"/>
    </row>
    <row r="428">
      <c r="L428" s="262"/>
      <c r="Q428" s="262"/>
      <c r="R428" s="262"/>
      <c r="S428" s="262"/>
      <c r="T428" s="262"/>
      <c r="U428" s="262"/>
      <c r="V428" s="262"/>
      <c r="W428" s="263"/>
      <c r="X428" s="263"/>
      <c r="Y428" s="263"/>
      <c r="Z428" s="263"/>
      <c r="AA428" s="263"/>
      <c r="AB428" s="263"/>
      <c r="AC428" s="263"/>
      <c r="AD428" s="263"/>
      <c r="AE428" s="263"/>
      <c r="AF428" s="263"/>
      <c r="AG428" s="263"/>
      <c r="AH428" s="263"/>
      <c r="AI428" s="263"/>
      <c r="AJ428" s="263"/>
      <c r="AK428" s="263"/>
    </row>
    <row r="429">
      <c r="L429" s="262"/>
      <c r="Q429" s="262"/>
      <c r="R429" s="262"/>
      <c r="S429" s="262"/>
      <c r="T429" s="262"/>
      <c r="U429" s="262"/>
      <c r="V429" s="262"/>
      <c r="W429" s="263"/>
      <c r="X429" s="263"/>
      <c r="Y429" s="263"/>
      <c r="Z429" s="263"/>
      <c r="AA429" s="263"/>
      <c r="AB429" s="263"/>
      <c r="AC429" s="263"/>
      <c r="AD429" s="263"/>
      <c r="AE429" s="263"/>
      <c r="AF429" s="263"/>
      <c r="AG429" s="263"/>
      <c r="AH429" s="263"/>
      <c r="AI429" s="263"/>
      <c r="AJ429" s="263"/>
      <c r="AK429" s="263"/>
    </row>
    <row r="430">
      <c r="L430" s="262"/>
      <c r="Q430" s="262"/>
      <c r="R430" s="262"/>
      <c r="S430" s="262"/>
      <c r="T430" s="262"/>
      <c r="U430" s="262"/>
      <c r="V430" s="262"/>
      <c r="W430" s="263"/>
      <c r="X430" s="263"/>
      <c r="Y430" s="263"/>
      <c r="Z430" s="263"/>
      <c r="AA430" s="263"/>
      <c r="AB430" s="263"/>
      <c r="AC430" s="263"/>
      <c r="AD430" s="263"/>
      <c r="AE430" s="263"/>
      <c r="AF430" s="263"/>
      <c r="AG430" s="263"/>
      <c r="AH430" s="263"/>
      <c r="AI430" s="263"/>
      <c r="AJ430" s="263"/>
      <c r="AK430" s="263"/>
    </row>
    <row r="431">
      <c r="L431" s="262"/>
      <c r="Q431" s="262"/>
      <c r="R431" s="262"/>
      <c r="S431" s="262"/>
      <c r="T431" s="262"/>
      <c r="U431" s="262"/>
      <c r="V431" s="262"/>
      <c r="W431" s="263"/>
      <c r="X431" s="263"/>
      <c r="Y431" s="263"/>
      <c r="Z431" s="263"/>
      <c r="AA431" s="263"/>
      <c r="AB431" s="263"/>
      <c r="AC431" s="263"/>
      <c r="AD431" s="263"/>
      <c r="AE431" s="263"/>
      <c r="AF431" s="263"/>
      <c r="AG431" s="263"/>
      <c r="AH431" s="263"/>
      <c r="AI431" s="263"/>
      <c r="AJ431" s="263"/>
      <c r="AK431" s="263"/>
    </row>
    <row r="432">
      <c r="L432" s="262"/>
      <c r="Q432" s="262"/>
      <c r="R432" s="262"/>
      <c r="S432" s="262"/>
      <c r="T432" s="262"/>
      <c r="U432" s="262"/>
      <c r="V432" s="262"/>
      <c r="W432" s="263"/>
      <c r="X432" s="263"/>
      <c r="Y432" s="263"/>
      <c r="Z432" s="263"/>
      <c r="AA432" s="263"/>
      <c r="AB432" s="263"/>
      <c r="AC432" s="263"/>
      <c r="AD432" s="263"/>
      <c r="AE432" s="263"/>
      <c r="AF432" s="263"/>
      <c r="AG432" s="263"/>
      <c r="AH432" s="263"/>
      <c r="AI432" s="263"/>
      <c r="AJ432" s="263"/>
      <c r="AK432" s="263"/>
    </row>
    <row r="433">
      <c r="L433" s="262"/>
      <c r="Q433" s="262"/>
      <c r="R433" s="262"/>
      <c r="S433" s="262"/>
      <c r="T433" s="262"/>
      <c r="U433" s="262"/>
      <c r="V433" s="262"/>
      <c r="W433" s="263"/>
      <c r="X433" s="263"/>
      <c r="Y433" s="263"/>
      <c r="Z433" s="263"/>
      <c r="AA433" s="263"/>
      <c r="AB433" s="263"/>
      <c r="AC433" s="263"/>
      <c r="AD433" s="263"/>
      <c r="AE433" s="263"/>
      <c r="AF433" s="263"/>
      <c r="AG433" s="263"/>
      <c r="AH433" s="263"/>
      <c r="AI433" s="263"/>
      <c r="AJ433" s="263"/>
      <c r="AK433" s="263"/>
    </row>
    <row r="434">
      <c r="L434" s="262"/>
      <c r="Q434" s="262"/>
      <c r="R434" s="262"/>
      <c r="S434" s="262"/>
      <c r="T434" s="262"/>
      <c r="U434" s="262"/>
      <c r="V434" s="262"/>
      <c r="W434" s="263"/>
      <c r="X434" s="263"/>
      <c r="Y434" s="263"/>
      <c r="Z434" s="263"/>
      <c r="AA434" s="263"/>
      <c r="AB434" s="263"/>
      <c r="AC434" s="263"/>
      <c r="AD434" s="263"/>
      <c r="AE434" s="263"/>
      <c r="AF434" s="263"/>
      <c r="AG434" s="263"/>
      <c r="AH434" s="263"/>
      <c r="AI434" s="263"/>
      <c r="AJ434" s="263"/>
      <c r="AK434" s="263"/>
    </row>
    <row r="435">
      <c r="L435" s="262"/>
      <c r="Q435" s="262"/>
      <c r="R435" s="262"/>
      <c r="S435" s="262"/>
      <c r="T435" s="262"/>
      <c r="U435" s="262"/>
      <c r="V435" s="262"/>
      <c r="W435" s="263"/>
      <c r="X435" s="263"/>
      <c r="Y435" s="263"/>
      <c r="Z435" s="263"/>
      <c r="AA435" s="263"/>
      <c r="AB435" s="263"/>
      <c r="AC435" s="263"/>
      <c r="AD435" s="263"/>
      <c r="AE435" s="263"/>
      <c r="AF435" s="263"/>
      <c r="AG435" s="263"/>
      <c r="AH435" s="263"/>
      <c r="AI435" s="263"/>
      <c r="AJ435" s="263"/>
      <c r="AK435" s="263"/>
    </row>
    <row r="436">
      <c r="L436" s="262"/>
      <c r="Q436" s="262"/>
      <c r="R436" s="262"/>
      <c r="S436" s="262"/>
      <c r="T436" s="262"/>
      <c r="U436" s="262"/>
      <c r="V436" s="262"/>
      <c r="W436" s="263"/>
      <c r="X436" s="263"/>
      <c r="Y436" s="263"/>
      <c r="Z436" s="263"/>
      <c r="AA436" s="263"/>
      <c r="AB436" s="263"/>
      <c r="AC436" s="263"/>
      <c r="AD436" s="263"/>
      <c r="AE436" s="263"/>
      <c r="AF436" s="263"/>
      <c r="AG436" s="263"/>
      <c r="AH436" s="263"/>
      <c r="AI436" s="263"/>
      <c r="AJ436" s="263"/>
      <c r="AK436" s="263"/>
    </row>
    <row r="437">
      <c r="L437" s="262"/>
      <c r="Q437" s="262"/>
      <c r="R437" s="262"/>
      <c r="S437" s="262"/>
      <c r="T437" s="262"/>
      <c r="U437" s="262"/>
      <c r="V437" s="262"/>
      <c r="W437" s="263"/>
      <c r="X437" s="263"/>
      <c r="Y437" s="263"/>
      <c r="Z437" s="263"/>
      <c r="AA437" s="263"/>
      <c r="AB437" s="263"/>
      <c r="AC437" s="263"/>
      <c r="AD437" s="263"/>
      <c r="AE437" s="263"/>
      <c r="AF437" s="263"/>
      <c r="AG437" s="263"/>
      <c r="AH437" s="263"/>
      <c r="AI437" s="263"/>
      <c r="AJ437" s="263"/>
      <c r="AK437" s="263"/>
    </row>
    <row r="438">
      <c r="L438" s="262"/>
      <c r="Q438" s="262"/>
      <c r="R438" s="262"/>
      <c r="S438" s="262"/>
      <c r="T438" s="262"/>
      <c r="U438" s="262"/>
      <c r="V438" s="262"/>
      <c r="W438" s="263"/>
      <c r="X438" s="263"/>
      <c r="Y438" s="263"/>
      <c r="Z438" s="263"/>
      <c r="AA438" s="263"/>
      <c r="AB438" s="263"/>
      <c r="AC438" s="263"/>
      <c r="AD438" s="263"/>
      <c r="AE438" s="263"/>
      <c r="AF438" s="263"/>
      <c r="AG438" s="263"/>
      <c r="AH438" s="263"/>
      <c r="AI438" s="263"/>
      <c r="AJ438" s="263"/>
      <c r="AK438" s="263"/>
    </row>
    <row r="439">
      <c r="L439" s="262"/>
      <c r="Q439" s="262"/>
      <c r="R439" s="262"/>
      <c r="S439" s="262"/>
      <c r="T439" s="262"/>
      <c r="U439" s="262"/>
      <c r="V439" s="262"/>
      <c r="W439" s="263"/>
      <c r="X439" s="263"/>
      <c r="Y439" s="263"/>
      <c r="Z439" s="263"/>
      <c r="AA439" s="263"/>
      <c r="AB439" s="263"/>
      <c r="AC439" s="263"/>
      <c r="AD439" s="263"/>
      <c r="AE439" s="263"/>
      <c r="AF439" s="263"/>
      <c r="AG439" s="263"/>
      <c r="AH439" s="263"/>
      <c r="AI439" s="263"/>
      <c r="AJ439" s="263"/>
      <c r="AK439" s="263"/>
    </row>
    <row r="440">
      <c r="L440" s="262"/>
      <c r="Q440" s="262"/>
      <c r="R440" s="262"/>
      <c r="S440" s="262"/>
      <c r="T440" s="262"/>
      <c r="U440" s="262"/>
      <c r="V440" s="262"/>
      <c r="W440" s="263"/>
      <c r="X440" s="263"/>
      <c r="Y440" s="263"/>
      <c r="Z440" s="263"/>
      <c r="AA440" s="263"/>
      <c r="AB440" s="263"/>
      <c r="AC440" s="263"/>
      <c r="AD440" s="263"/>
      <c r="AE440" s="263"/>
      <c r="AF440" s="263"/>
      <c r="AG440" s="263"/>
      <c r="AH440" s="263"/>
      <c r="AI440" s="263"/>
      <c r="AJ440" s="263"/>
      <c r="AK440" s="263"/>
    </row>
    <row r="441">
      <c r="L441" s="262"/>
      <c r="Q441" s="262"/>
      <c r="R441" s="262"/>
      <c r="S441" s="262"/>
      <c r="T441" s="262"/>
      <c r="U441" s="262"/>
      <c r="V441" s="262"/>
      <c r="W441" s="263"/>
      <c r="X441" s="263"/>
      <c r="Y441" s="263"/>
      <c r="Z441" s="263"/>
      <c r="AA441" s="263"/>
      <c r="AB441" s="263"/>
      <c r="AC441" s="263"/>
      <c r="AD441" s="263"/>
      <c r="AE441" s="263"/>
      <c r="AF441" s="263"/>
      <c r="AG441" s="263"/>
      <c r="AH441" s="263"/>
      <c r="AI441" s="263"/>
      <c r="AJ441" s="263"/>
      <c r="AK441" s="263"/>
    </row>
    <row r="442">
      <c r="L442" s="262"/>
      <c r="Q442" s="262"/>
      <c r="R442" s="262"/>
      <c r="S442" s="262"/>
      <c r="T442" s="262"/>
      <c r="U442" s="262"/>
      <c r="V442" s="262"/>
      <c r="W442" s="263"/>
      <c r="X442" s="263"/>
      <c r="Y442" s="263"/>
      <c r="Z442" s="263"/>
      <c r="AA442" s="263"/>
      <c r="AB442" s="263"/>
      <c r="AC442" s="263"/>
      <c r="AD442" s="263"/>
      <c r="AE442" s="263"/>
      <c r="AF442" s="263"/>
      <c r="AG442" s="263"/>
      <c r="AH442" s="263"/>
      <c r="AI442" s="263"/>
      <c r="AJ442" s="263"/>
      <c r="AK442" s="263"/>
    </row>
    <row r="443">
      <c r="L443" s="262"/>
      <c r="Q443" s="262"/>
      <c r="R443" s="262"/>
      <c r="S443" s="262"/>
      <c r="T443" s="262"/>
      <c r="U443" s="262"/>
      <c r="V443" s="262"/>
      <c r="W443" s="263"/>
      <c r="X443" s="263"/>
      <c r="Y443" s="263"/>
      <c r="Z443" s="263"/>
      <c r="AA443" s="263"/>
      <c r="AB443" s="263"/>
      <c r="AC443" s="263"/>
      <c r="AD443" s="263"/>
      <c r="AE443" s="263"/>
      <c r="AF443" s="263"/>
      <c r="AG443" s="263"/>
      <c r="AH443" s="263"/>
      <c r="AI443" s="263"/>
      <c r="AJ443" s="263"/>
      <c r="AK443" s="263"/>
    </row>
    <row r="444">
      <c r="L444" s="262"/>
      <c r="Q444" s="262"/>
      <c r="R444" s="262"/>
      <c r="S444" s="262"/>
      <c r="T444" s="262"/>
      <c r="U444" s="262"/>
      <c r="V444" s="262"/>
      <c r="W444" s="263"/>
      <c r="X444" s="263"/>
      <c r="Y444" s="263"/>
      <c r="Z444" s="263"/>
      <c r="AA444" s="263"/>
      <c r="AB444" s="263"/>
      <c r="AC444" s="263"/>
      <c r="AD444" s="263"/>
      <c r="AE444" s="263"/>
      <c r="AF444" s="263"/>
      <c r="AG444" s="263"/>
      <c r="AH444" s="263"/>
      <c r="AI444" s="263"/>
      <c r="AJ444" s="263"/>
      <c r="AK444" s="263"/>
    </row>
    <row r="445">
      <c r="L445" s="262"/>
      <c r="Q445" s="262"/>
      <c r="R445" s="262"/>
      <c r="S445" s="262"/>
      <c r="T445" s="262"/>
      <c r="U445" s="262"/>
      <c r="V445" s="262"/>
      <c r="W445" s="263"/>
      <c r="X445" s="263"/>
      <c r="Y445" s="263"/>
      <c r="Z445" s="263"/>
      <c r="AA445" s="263"/>
      <c r="AB445" s="263"/>
      <c r="AC445" s="263"/>
      <c r="AD445" s="263"/>
      <c r="AE445" s="263"/>
      <c r="AF445" s="263"/>
      <c r="AG445" s="263"/>
      <c r="AH445" s="263"/>
      <c r="AI445" s="263"/>
      <c r="AJ445" s="263"/>
      <c r="AK445" s="263"/>
    </row>
    <row r="446">
      <c r="L446" s="262"/>
      <c r="Q446" s="262"/>
      <c r="R446" s="262"/>
      <c r="S446" s="262"/>
      <c r="T446" s="262"/>
      <c r="U446" s="262"/>
      <c r="V446" s="262"/>
      <c r="W446" s="263"/>
      <c r="X446" s="263"/>
      <c r="Y446" s="263"/>
      <c r="Z446" s="263"/>
      <c r="AA446" s="263"/>
      <c r="AB446" s="263"/>
      <c r="AC446" s="263"/>
      <c r="AD446" s="263"/>
      <c r="AE446" s="263"/>
      <c r="AF446" s="263"/>
      <c r="AG446" s="263"/>
      <c r="AH446" s="263"/>
      <c r="AI446" s="263"/>
      <c r="AJ446" s="263"/>
      <c r="AK446" s="263"/>
    </row>
    <row r="447">
      <c r="L447" s="262"/>
      <c r="Q447" s="262"/>
      <c r="R447" s="262"/>
      <c r="S447" s="262"/>
      <c r="T447" s="262"/>
      <c r="U447" s="262"/>
      <c r="V447" s="262"/>
      <c r="W447" s="263"/>
      <c r="X447" s="263"/>
      <c r="Y447" s="263"/>
      <c r="Z447" s="263"/>
      <c r="AA447" s="263"/>
      <c r="AB447" s="263"/>
      <c r="AC447" s="263"/>
      <c r="AD447" s="263"/>
      <c r="AE447" s="263"/>
      <c r="AF447" s="263"/>
      <c r="AG447" s="263"/>
      <c r="AH447" s="263"/>
      <c r="AI447" s="263"/>
      <c r="AJ447" s="263"/>
      <c r="AK447" s="263"/>
    </row>
    <row r="448">
      <c r="L448" s="262"/>
      <c r="Q448" s="262"/>
      <c r="R448" s="262"/>
      <c r="S448" s="262"/>
      <c r="T448" s="262"/>
      <c r="U448" s="262"/>
      <c r="V448" s="262"/>
      <c r="W448" s="263"/>
      <c r="X448" s="263"/>
      <c r="Y448" s="263"/>
      <c r="Z448" s="263"/>
      <c r="AA448" s="263"/>
      <c r="AB448" s="263"/>
      <c r="AC448" s="263"/>
      <c r="AD448" s="263"/>
      <c r="AE448" s="263"/>
      <c r="AF448" s="263"/>
      <c r="AG448" s="263"/>
      <c r="AH448" s="263"/>
      <c r="AI448" s="263"/>
      <c r="AJ448" s="263"/>
      <c r="AK448" s="263"/>
    </row>
    <row r="449">
      <c r="L449" s="262"/>
      <c r="Q449" s="262"/>
      <c r="R449" s="262"/>
      <c r="S449" s="262"/>
      <c r="T449" s="262"/>
      <c r="U449" s="262"/>
      <c r="V449" s="262"/>
      <c r="W449" s="263"/>
      <c r="X449" s="263"/>
      <c r="Y449" s="263"/>
      <c r="Z449" s="263"/>
      <c r="AA449" s="263"/>
      <c r="AB449" s="263"/>
      <c r="AC449" s="263"/>
      <c r="AD449" s="263"/>
      <c r="AE449" s="263"/>
      <c r="AF449" s="263"/>
      <c r="AG449" s="263"/>
      <c r="AH449" s="263"/>
      <c r="AI449" s="263"/>
      <c r="AJ449" s="263"/>
      <c r="AK449" s="263"/>
    </row>
    <row r="450">
      <c r="L450" s="262"/>
      <c r="Q450" s="262"/>
      <c r="R450" s="262"/>
      <c r="S450" s="262"/>
      <c r="T450" s="262"/>
      <c r="U450" s="262"/>
      <c r="V450" s="262"/>
      <c r="W450" s="263"/>
      <c r="X450" s="263"/>
      <c r="Y450" s="263"/>
      <c r="Z450" s="263"/>
      <c r="AA450" s="263"/>
      <c r="AB450" s="263"/>
      <c r="AC450" s="263"/>
      <c r="AD450" s="263"/>
      <c r="AE450" s="263"/>
      <c r="AF450" s="263"/>
      <c r="AG450" s="263"/>
      <c r="AH450" s="263"/>
      <c r="AI450" s="263"/>
      <c r="AJ450" s="263"/>
      <c r="AK450" s="263"/>
    </row>
    <row r="451">
      <c r="L451" s="262"/>
      <c r="Q451" s="262"/>
      <c r="R451" s="262"/>
      <c r="S451" s="262"/>
      <c r="T451" s="262"/>
      <c r="U451" s="262"/>
      <c r="V451" s="262"/>
      <c r="W451" s="263"/>
      <c r="X451" s="263"/>
      <c r="Y451" s="263"/>
      <c r="Z451" s="263"/>
      <c r="AA451" s="263"/>
      <c r="AB451" s="263"/>
      <c r="AC451" s="263"/>
      <c r="AD451" s="263"/>
      <c r="AE451" s="263"/>
      <c r="AF451" s="263"/>
      <c r="AG451" s="263"/>
      <c r="AH451" s="263"/>
      <c r="AI451" s="263"/>
      <c r="AJ451" s="263"/>
      <c r="AK451" s="263"/>
    </row>
    <row r="452">
      <c r="L452" s="262"/>
      <c r="Q452" s="262"/>
      <c r="R452" s="262"/>
      <c r="S452" s="262"/>
      <c r="T452" s="262"/>
      <c r="U452" s="262"/>
      <c r="V452" s="262"/>
      <c r="W452" s="263"/>
      <c r="X452" s="263"/>
      <c r="Y452" s="263"/>
      <c r="Z452" s="263"/>
      <c r="AA452" s="263"/>
      <c r="AB452" s="263"/>
      <c r="AC452" s="263"/>
      <c r="AD452" s="263"/>
      <c r="AE452" s="263"/>
      <c r="AF452" s="263"/>
      <c r="AG452" s="263"/>
      <c r="AH452" s="263"/>
      <c r="AI452" s="263"/>
      <c r="AJ452" s="263"/>
      <c r="AK452" s="263"/>
    </row>
    <row r="453">
      <c r="L453" s="262"/>
      <c r="Q453" s="262"/>
      <c r="R453" s="262"/>
      <c r="S453" s="262"/>
      <c r="T453" s="262"/>
      <c r="U453" s="262"/>
      <c r="V453" s="262"/>
      <c r="W453" s="263"/>
      <c r="X453" s="263"/>
      <c r="Y453" s="263"/>
      <c r="Z453" s="263"/>
      <c r="AA453" s="263"/>
      <c r="AB453" s="263"/>
      <c r="AC453" s="263"/>
      <c r="AD453" s="263"/>
      <c r="AE453" s="263"/>
      <c r="AF453" s="263"/>
      <c r="AG453" s="263"/>
      <c r="AH453" s="263"/>
      <c r="AI453" s="263"/>
      <c r="AJ453" s="263"/>
      <c r="AK453" s="263"/>
    </row>
    <row r="454">
      <c r="L454" s="262"/>
      <c r="Q454" s="262"/>
      <c r="R454" s="262"/>
      <c r="S454" s="262"/>
      <c r="T454" s="262"/>
      <c r="U454" s="262"/>
      <c r="V454" s="262"/>
      <c r="W454" s="263"/>
      <c r="X454" s="263"/>
      <c r="Y454" s="263"/>
      <c r="Z454" s="263"/>
      <c r="AA454" s="263"/>
      <c r="AB454" s="263"/>
      <c r="AC454" s="263"/>
      <c r="AD454" s="263"/>
      <c r="AE454" s="263"/>
      <c r="AF454" s="263"/>
      <c r="AG454" s="263"/>
      <c r="AH454" s="263"/>
      <c r="AI454" s="263"/>
      <c r="AJ454" s="263"/>
      <c r="AK454" s="263"/>
    </row>
    <row r="455">
      <c r="L455" s="262"/>
      <c r="Q455" s="262"/>
      <c r="R455" s="262"/>
      <c r="S455" s="262"/>
      <c r="T455" s="262"/>
      <c r="U455" s="262"/>
      <c r="V455" s="262"/>
      <c r="W455" s="263"/>
      <c r="X455" s="263"/>
      <c r="Y455" s="263"/>
      <c r="Z455" s="263"/>
      <c r="AA455" s="263"/>
      <c r="AB455" s="263"/>
      <c r="AC455" s="263"/>
      <c r="AD455" s="263"/>
      <c r="AE455" s="263"/>
      <c r="AF455" s="263"/>
      <c r="AG455" s="263"/>
      <c r="AH455" s="263"/>
      <c r="AI455" s="263"/>
      <c r="AJ455" s="263"/>
      <c r="AK455" s="263"/>
    </row>
    <row r="456">
      <c r="L456" s="262"/>
      <c r="Q456" s="262"/>
      <c r="R456" s="262"/>
      <c r="S456" s="262"/>
      <c r="T456" s="262"/>
      <c r="U456" s="262"/>
      <c r="V456" s="262"/>
      <c r="W456" s="263"/>
      <c r="X456" s="263"/>
      <c r="Y456" s="263"/>
      <c r="Z456" s="263"/>
      <c r="AA456" s="263"/>
      <c r="AB456" s="263"/>
      <c r="AC456" s="263"/>
      <c r="AD456" s="263"/>
      <c r="AE456" s="263"/>
      <c r="AF456" s="263"/>
      <c r="AG456" s="263"/>
      <c r="AH456" s="263"/>
      <c r="AI456" s="263"/>
      <c r="AJ456" s="263"/>
      <c r="AK456" s="263"/>
    </row>
    <row r="457">
      <c r="L457" s="262"/>
      <c r="Q457" s="262"/>
      <c r="R457" s="262"/>
      <c r="S457" s="262"/>
      <c r="T457" s="262"/>
      <c r="U457" s="262"/>
      <c r="V457" s="262"/>
      <c r="W457" s="263"/>
      <c r="X457" s="263"/>
      <c r="Y457" s="263"/>
      <c r="Z457" s="263"/>
      <c r="AA457" s="263"/>
      <c r="AB457" s="263"/>
      <c r="AC457" s="263"/>
      <c r="AD457" s="263"/>
      <c r="AE457" s="263"/>
      <c r="AF457" s="263"/>
      <c r="AG457" s="263"/>
      <c r="AH457" s="263"/>
      <c r="AI457" s="263"/>
      <c r="AJ457" s="263"/>
      <c r="AK457" s="263"/>
    </row>
    <row r="458">
      <c r="L458" s="262"/>
      <c r="Q458" s="262"/>
      <c r="R458" s="262"/>
      <c r="S458" s="262"/>
      <c r="T458" s="262"/>
      <c r="U458" s="262"/>
      <c r="V458" s="262"/>
      <c r="W458" s="263"/>
      <c r="X458" s="263"/>
      <c r="Y458" s="263"/>
      <c r="Z458" s="263"/>
      <c r="AA458" s="263"/>
      <c r="AB458" s="263"/>
      <c r="AC458" s="263"/>
      <c r="AD458" s="263"/>
      <c r="AE458" s="263"/>
      <c r="AF458" s="263"/>
      <c r="AG458" s="263"/>
      <c r="AH458" s="263"/>
      <c r="AI458" s="263"/>
      <c r="AJ458" s="263"/>
      <c r="AK458" s="263"/>
    </row>
    <row r="459">
      <c r="L459" s="262"/>
      <c r="Q459" s="262"/>
      <c r="R459" s="262"/>
      <c r="S459" s="262"/>
      <c r="T459" s="262"/>
      <c r="U459" s="262"/>
      <c r="V459" s="262"/>
      <c r="W459" s="263"/>
      <c r="X459" s="263"/>
      <c r="Y459" s="263"/>
      <c r="Z459" s="263"/>
      <c r="AA459" s="263"/>
      <c r="AB459" s="263"/>
      <c r="AC459" s="263"/>
      <c r="AD459" s="263"/>
      <c r="AE459" s="263"/>
      <c r="AF459" s="263"/>
      <c r="AG459" s="263"/>
      <c r="AH459" s="263"/>
      <c r="AI459" s="263"/>
      <c r="AJ459" s="263"/>
      <c r="AK459" s="263"/>
    </row>
    <row r="460">
      <c r="L460" s="262"/>
      <c r="Q460" s="262"/>
      <c r="R460" s="262"/>
      <c r="S460" s="262"/>
      <c r="T460" s="262"/>
      <c r="U460" s="262"/>
      <c r="V460" s="262"/>
      <c r="W460" s="263"/>
      <c r="X460" s="263"/>
      <c r="Y460" s="263"/>
      <c r="Z460" s="263"/>
      <c r="AA460" s="263"/>
      <c r="AB460" s="263"/>
      <c r="AC460" s="263"/>
      <c r="AD460" s="263"/>
      <c r="AE460" s="263"/>
      <c r="AF460" s="263"/>
      <c r="AG460" s="263"/>
      <c r="AH460" s="263"/>
      <c r="AI460" s="263"/>
      <c r="AJ460" s="263"/>
      <c r="AK460" s="263"/>
    </row>
    <row r="461">
      <c r="L461" s="262"/>
      <c r="Q461" s="262"/>
      <c r="R461" s="262"/>
      <c r="S461" s="262"/>
      <c r="T461" s="262"/>
      <c r="U461" s="262"/>
      <c r="V461" s="262"/>
      <c r="W461" s="263"/>
      <c r="X461" s="263"/>
      <c r="Y461" s="263"/>
      <c r="Z461" s="263"/>
      <c r="AA461" s="263"/>
      <c r="AB461" s="263"/>
      <c r="AC461" s="263"/>
      <c r="AD461" s="263"/>
      <c r="AE461" s="263"/>
      <c r="AF461" s="263"/>
      <c r="AG461" s="263"/>
      <c r="AH461" s="263"/>
      <c r="AI461" s="263"/>
      <c r="AJ461" s="263"/>
      <c r="AK461" s="263"/>
    </row>
    <row r="462">
      <c r="L462" s="262"/>
      <c r="Q462" s="262"/>
      <c r="R462" s="262"/>
      <c r="S462" s="262"/>
      <c r="T462" s="262"/>
      <c r="U462" s="262"/>
      <c r="V462" s="262"/>
      <c r="W462" s="263"/>
      <c r="X462" s="263"/>
      <c r="Y462" s="263"/>
      <c r="Z462" s="263"/>
      <c r="AA462" s="263"/>
      <c r="AB462" s="263"/>
      <c r="AC462" s="263"/>
      <c r="AD462" s="263"/>
      <c r="AE462" s="263"/>
      <c r="AF462" s="263"/>
      <c r="AG462" s="263"/>
      <c r="AH462" s="263"/>
      <c r="AI462" s="263"/>
      <c r="AJ462" s="263"/>
      <c r="AK462" s="263"/>
    </row>
    <row r="463">
      <c r="L463" s="262"/>
      <c r="Q463" s="262"/>
      <c r="R463" s="262"/>
      <c r="S463" s="262"/>
      <c r="T463" s="262"/>
      <c r="U463" s="262"/>
      <c r="V463" s="262"/>
      <c r="W463" s="263"/>
      <c r="X463" s="263"/>
      <c r="Y463" s="263"/>
      <c r="Z463" s="263"/>
      <c r="AA463" s="263"/>
      <c r="AB463" s="263"/>
      <c r="AC463" s="263"/>
      <c r="AD463" s="263"/>
      <c r="AE463" s="263"/>
      <c r="AF463" s="263"/>
      <c r="AG463" s="263"/>
      <c r="AH463" s="263"/>
      <c r="AI463" s="263"/>
      <c r="AJ463" s="263"/>
      <c r="AK463" s="263"/>
    </row>
    <row r="464">
      <c r="L464" s="262"/>
      <c r="Q464" s="262"/>
      <c r="R464" s="262"/>
      <c r="S464" s="262"/>
      <c r="T464" s="262"/>
      <c r="U464" s="262"/>
      <c r="V464" s="262"/>
      <c r="W464" s="263"/>
      <c r="X464" s="263"/>
      <c r="Y464" s="263"/>
      <c r="Z464" s="263"/>
      <c r="AA464" s="263"/>
      <c r="AB464" s="263"/>
      <c r="AC464" s="263"/>
      <c r="AD464" s="263"/>
      <c r="AE464" s="263"/>
      <c r="AF464" s="263"/>
      <c r="AG464" s="263"/>
      <c r="AH464" s="263"/>
      <c r="AI464" s="263"/>
      <c r="AJ464" s="263"/>
      <c r="AK464" s="263"/>
    </row>
    <row r="465">
      <c r="L465" s="262"/>
      <c r="Q465" s="262"/>
      <c r="R465" s="262"/>
      <c r="S465" s="262"/>
      <c r="T465" s="262"/>
      <c r="U465" s="262"/>
      <c r="V465" s="262"/>
      <c r="W465" s="263"/>
      <c r="X465" s="263"/>
      <c r="Y465" s="263"/>
      <c r="Z465" s="263"/>
      <c r="AA465" s="263"/>
      <c r="AB465" s="263"/>
      <c r="AC465" s="263"/>
      <c r="AD465" s="263"/>
      <c r="AE465" s="263"/>
      <c r="AF465" s="263"/>
      <c r="AG465" s="263"/>
      <c r="AH465" s="263"/>
      <c r="AI465" s="263"/>
      <c r="AJ465" s="263"/>
      <c r="AK465" s="263"/>
    </row>
    <row r="466">
      <c r="L466" s="262"/>
      <c r="Q466" s="262"/>
      <c r="R466" s="262"/>
      <c r="S466" s="262"/>
      <c r="T466" s="262"/>
      <c r="U466" s="262"/>
      <c r="V466" s="262"/>
      <c r="W466" s="263"/>
      <c r="X466" s="263"/>
      <c r="Y466" s="263"/>
      <c r="Z466" s="263"/>
      <c r="AA466" s="263"/>
      <c r="AB466" s="263"/>
      <c r="AC466" s="263"/>
      <c r="AD466" s="263"/>
      <c r="AE466" s="263"/>
      <c r="AF466" s="263"/>
      <c r="AG466" s="263"/>
      <c r="AH466" s="263"/>
      <c r="AI466" s="263"/>
      <c r="AJ466" s="263"/>
      <c r="AK466" s="263"/>
    </row>
    <row r="467">
      <c r="L467" s="262"/>
      <c r="Q467" s="262"/>
      <c r="R467" s="262"/>
      <c r="S467" s="262"/>
      <c r="T467" s="262"/>
      <c r="U467" s="262"/>
      <c r="V467" s="262"/>
      <c r="W467" s="263"/>
      <c r="X467" s="263"/>
      <c r="Y467" s="263"/>
      <c r="Z467" s="263"/>
      <c r="AA467" s="263"/>
      <c r="AB467" s="263"/>
      <c r="AC467" s="263"/>
      <c r="AD467" s="263"/>
      <c r="AE467" s="263"/>
      <c r="AF467" s="263"/>
      <c r="AG467" s="263"/>
      <c r="AH467" s="263"/>
      <c r="AI467" s="263"/>
      <c r="AJ467" s="263"/>
      <c r="AK467" s="263"/>
    </row>
    <row r="468">
      <c r="L468" s="262"/>
      <c r="Q468" s="262"/>
      <c r="R468" s="262"/>
      <c r="S468" s="262"/>
      <c r="T468" s="262"/>
      <c r="U468" s="262"/>
      <c r="V468" s="262"/>
      <c r="W468" s="263"/>
      <c r="X468" s="263"/>
      <c r="Y468" s="263"/>
      <c r="Z468" s="263"/>
      <c r="AA468" s="263"/>
      <c r="AB468" s="263"/>
      <c r="AC468" s="263"/>
      <c r="AD468" s="263"/>
      <c r="AE468" s="263"/>
      <c r="AF468" s="263"/>
      <c r="AG468" s="263"/>
      <c r="AH468" s="263"/>
      <c r="AI468" s="263"/>
      <c r="AJ468" s="263"/>
      <c r="AK468" s="263"/>
    </row>
    <row r="469">
      <c r="L469" s="262"/>
      <c r="Q469" s="262"/>
      <c r="R469" s="262"/>
      <c r="S469" s="262"/>
      <c r="T469" s="262"/>
      <c r="U469" s="262"/>
      <c r="V469" s="262"/>
      <c r="W469" s="263"/>
      <c r="X469" s="263"/>
      <c r="Y469" s="263"/>
      <c r="Z469" s="263"/>
      <c r="AA469" s="263"/>
      <c r="AB469" s="263"/>
      <c r="AC469" s="263"/>
      <c r="AD469" s="263"/>
      <c r="AE469" s="263"/>
      <c r="AF469" s="263"/>
      <c r="AG469" s="263"/>
      <c r="AH469" s="263"/>
      <c r="AI469" s="263"/>
      <c r="AJ469" s="263"/>
      <c r="AK469" s="263"/>
    </row>
    <row r="470">
      <c r="L470" s="262"/>
      <c r="Q470" s="262"/>
      <c r="R470" s="262"/>
      <c r="S470" s="262"/>
      <c r="T470" s="262"/>
      <c r="U470" s="262"/>
      <c r="V470" s="262"/>
      <c r="W470" s="263"/>
      <c r="X470" s="263"/>
      <c r="Y470" s="263"/>
      <c r="Z470" s="263"/>
      <c r="AA470" s="263"/>
      <c r="AB470" s="263"/>
      <c r="AC470" s="263"/>
      <c r="AD470" s="263"/>
      <c r="AE470" s="263"/>
      <c r="AF470" s="263"/>
      <c r="AG470" s="263"/>
      <c r="AH470" s="263"/>
      <c r="AI470" s="263"/>
      <c r="AJ470" s="263"/>
      <c r="AK470" s="263"/>
    </row>
    <row r="471">
      <c r="L471" s="262"/>
      <c r="Q471" s="262"/>
      <c r="R471" s="262"/>
      <c r="S471" s="262"/>
      <c r="T471" s="262"/>
      <c r="U471" s="262"/>
      <c r="V471" s="262"/>
      <c r="W471" s="263"/>
      <c r="X471" s="263"/>
      <c r="Y471" s="263"/>
      <c r="Z471" s="263"/>
      <c r="AA471" s="263"/>
      <c r="AB471" s="263"/>
      <c r="AC471" s="263"/>
      <c r="AD471" s="263"/>
      <c r="AE471" s="263"/>
      <c r="AF471" s="263"/>
      <c r="AG471" s="263"/>
      <c r="AH471" s="263"/>
      <c r="AI471" s="263"/>
      <c r="AJ471" s="263"/>
      <c r="AK471" s="263"/>
    </row>
    <row r="472">
      <c r="L472" s="262"/>
      <c r="Q472" s="262"/>
      <c r="R472" s="262"/>
      <c r="S472" s="262"/>
      <c r="T472" s="262"/>
      <c r="U472" s="262"/>
      <c r="V472" s="262"/>
      <c r="W472" s="263"/>
      <c r="X472" s="263"/>
      <c r="Y472" s="263"/>
      <c r="Z472" s="263"/>
      <c r="AA472" s="263"/>
      <c r="AB472" s="263"/>
      <c r="AC472" s="263"/>
      <c r="AD472" s="263"/>
      <c r="AE472" s="263"/>
      <c r="AF472" s="263"/>
      <c r="AG472" s="263"/>
      <c r="AH472" s="263"/>
      <c r="AI472" s="263"/>
      <c r="AJ472" s="263"/>
      <c r="AK472" s="263"/>
    </row>
    <row r="473">
      <c r="L473" s="262"/>
      <c r="Q473" s="262"/>
      <c r="R473" s="262"/>
      <c r="S473" s="262"/>
      <c r="T473" s="262"/>
      <c r="U473" s="262"/>
      <c r="V473" s="262"/>
      <c r="W473" s="263"/>
      <c r="X473" s="263"/>
      <c r="Y473" s="263"/>
      <c r="Z473" s="263"/>
      <c r="AA473" s="263"/>
      <c r="AB473" s="263"/>
      <c r="AC473" s="263"/>
      <c r="AD473" s="263"/>
      <c r="AE473" s="263"/>
      <c r="AF473" s="263"/>
      <c r="AG473" s="263"/>
      <c r="AH473" s="263"/>
      <c r="AI473" s="263"/>
      <c r="AJ473" s="263"/>
      <c r="AK473" s="263"/>
    </row>
    <row r="474">
      <c r="L474" s="262"/>
      <c r="Q474" s="262"/>
      <c r="R474" s="262"/>
      <c r="S474" s="262"/>
      <c r="T474" s="262"/>
      <c r="U474" s="262"/>
      <c r="V474" s="262"/>
      <c r="W474" s="263"/>
      <c r="X474" s="263"/>
      <c r="Y474" s="263"/>
      <c r="Z474" s="263"/>
      <c r="AA474" s="263"/>
      <c r="AB474" s="263"/>
      <c r="AC474" s="263"/>
      <c r="AD474" s="263"/>
      <c r="AE474" s="263"/>
      <c r="AF474" s="263"/>
      <c r="AG474" s="263"/>
      <c r="AH474" s="263"/>
      <c r="AI474" s="263"/>
      <c r="AJ474" s="263"/>
      <c r="AK474" s="263"/>
    </row>
    <row r="475">
      <c r="L475" s="262"/>
      <c r="Q475" s="262"/>
      <c r="R475" s="262"/>
      <c r="S475" s="262"/>
      <c r="T475" s="262"/>
      <c r="U475" s="262"/>
      <c r="V475" s="262"/>
      <c r="W475" s="263"/>
      <c r="X475" s="263"/>
      <c r="Y475" s="263"/>
      <c r="Z475" s="263"/>
      <c r="AA475" s="263"/>
      <c r="AB475" s="263"/>
      <c r="AC475" s="263"/>
      <c r="AD475" s="263"/>
      <c r="AE475" s="263"/>
      <c r="AF475" s="263"/>
      <c r="AG475" s="263"/>
      <c r="AH475" s="263"/>
      <c r="AI475" s="263"/>
      <c r="AJ475" s="263"/>
      <c r="AK475" s="263"/>
    </row>
    <row r="476">
      <c r="L476" s="262"/>
      <c r="Q476" s="262"/>
      <c r="R476" s="262"/>
      <c r="S476" s="262"/>
      <c r="T476" s="262"/>
      <c r="U476" s="262"/>
      <c r="V476" s="262"/>
      <c r="W476" s="263"/>
      <c r="X476" s="263"/>
      <c r="Y476" s="263"/>
      <c r="Z476" s="263"/>
      <c r="AA476" s="263"/>
      <c r="AB476" s="263"/>
      <c r="AC476" s="263"/>
      <c r="AD476" s="263"/>
      <c r="AE476" s="263"/>
      <c r="AF476" s="263"/>
      <c r="AG476" s="263"/>
      <c r="AH476" s="263"/>
      <c r="AI476" s="263"/>
      <c r="AJ476" s="263"/>
      <c r="AK476" s="263"/>
    </row>
    <row r="477">
      <c r="L477" s="262"/>
      <c r="Q477" s="262"/>
      <c r="R477" s="262"/>
      <c r="S477" s="262"/>
      <c r="T477" s="262"/>
      <c r="U477" s="262"/>
      <c r="V477" s="262"/>
      <c r="W477" s="263"/>
      <c r="X477" s="263"/>
      <c r="Y477" s="263"/>
      <c r="Z477" s="263"/>
      <c r="AA477" s="263"/>
      <c r="AB477" s="263"/>
      <c r="AC477" s="263"/>
      <c r="AD477" s="263"/>
      <c r="AE477" s="263"/>
      <c r="AF477" s="263"/>
      <c r="AG477" s="263"/>
      <c r="AH477" s="263"/>
      <c r="AI477" s="263"/>
      <c r="AJ477" s="263"/>
      <c r="AK477" s="263"/>
    </row>
    <row r="478">
      <c r="L478" s="262"/>
      <c r="Q478" s="262"/>
      <c r="R478" s="262"/>
      <c r="S478" s="262"/>
      <c r="T478" s="262"/>
      <c r="U478" s="262"/>
      <c r="V478" s="262"/>
      <c r="W478" s="263"/>
      <c r="X478" s="263"/>
      <c r="Y478" s="263"/>
      <c r="Z478" s="263"/>
      <c r="AA478" s="263"/>
      <c r="AB478" s="263"/>
      <c r="AC478" s="263"/>
      <c r="AD478" s="263"/>
      <c r="AE478" s="263"/>
      <c r="AF478" s="263"/>
      <c r="AG478" s="263"/>
      <c r="AH478" s="263"/>
      <c r="AI478" s="263"/>
      <c r="AJ478" s="263"/>
      <c r="AK478" s="263"/>
    </row>
    <row r="479">
      <c r="L479" s="262"/>
      <c r="Q479" s="262"/>
      <c r="R479" s="262"/>
      <c r="S479" s="262"/>
      <c r="T479" s="262"/>
      <c r="U479" s="262"/>
      <c r="V479" s="262"/>
      <c r="W479" s="263"/>
      <c r="X479" s="263"/>
      <c r="Y479" s="263"/>
      <c r="Z479" s="263"/>
      <c r="AA479" s="263"/>
      <c r="AB479" s="263"/>
      <c r="AC479" s="263"/>
      <c r="AD479" s="263"/>
      <c r="AE479" s="263"/>
      <c r="AF479" s="263"/>
      <c r="AG479" s="263"/>
      <c r="AH479" s="263"/>
      <c r="AI479" s="263"/>
      <c r="AJ479" s="263"/>
      <c r="AK479" s="263"/>
    </row>
    <row r="480">
      <c r="L480" s="262"/>
      <c r="Q480" s="262"/>
      <c r="R480" s="262"/>
      <c r="S480" s="262"/>
      <c r="T480" s="262"/>
      <c r="U480" s="262"/>
      <c r="V480" s="262"/>
      <c r="W480" s="263"/>
      <c r="X480" s="263"/>
      <c r="Y480" s="263"/>
      <c r="Z480" s="263"/>
      <c r="AA480" s="263"/>
      <c r="AB480" s="263"/>
      <c r="AC480" s="263"/>
      <c r="AD480" s="263"/>
      <c r="AE480" s="263"/>
      <c r="AF480" s="263"/>
      <c r="AG480" s="263"/>
      <c r="AH480" s="263"/>
      <c r="AI480" s="263"/>
      <c r="AJ480" s="263"/>
      <c r="AK480" s="263"/>
    </row>
    <row r="481">
      <c r="L481" s="262"/>
      <c r="Q481" s="262"/>
      <c r="R481" s="262"/>
      <c r="S481" s="262"/>
      <c r="T481" s="262"/>
      <c r="U481" s="262"/>
      <c r="V481" s="262"/>
      <c r="W481" s="263"/>
      <c r="X481" s="263"/>
      <c r="Y481" s="263"/>
      <c r="Z481" s="263"/>
      <c r="AA481" s="263"/>
      <c r="AB481" s="263"/>
      <c r="AC481" s="263"/>
      <c r="AD481" s="263"/>
      <c r="AE481" s="263"/>
      <c r="AF481" s="263"/>
      <c r="AG481" s="263"/>
      <c r="AH481" s="263"/>
      <c r="AI481" s="263"/>
      <c r="AJ481" s="263"/>
      <c r="AK481" s="263"/>
    </row>
    <row r="482">
      <c r="L482" s="262"/>
      <c r="Q482" s="262"/>
      <c r="R482" s="262"/>
      <c r="S482" s="262"/>
      <c r="T482" s="262"/>
      <c r="U482" s="262"/>
      <c r="V482" s="262"/>
      <c r="W482" s="263"/>
      <c r="X482" s="263"/>
      <c r="Y482" s="263"/>
      <c r="Z482" s="263"/>
      <c r="AA482" s="263"/>
      <c r="AB482" s="263"/>
      <c r="AC482" s="263"/>
      <c r="AD482" s="263"/>
      <c r="AE482" s="263"/>
      <c r="AF482" s="263"/>
      <c r="AG482" s="263"/>
      <c r="AH482" s="263"/>
      <c r="AI482" s="263"/>
      <c r="AJ482" s="263"/>
      <c r="AK482" s="263"/>
    </row>
    <row r="483">
      <c r="L483" s="262"/>
      <c r="Q483" s="262"/>
      <c r="R483" s="262"/>
      <c r="S483" s="262"/>
      <c r="T483" s="262"/>
      <c r="U483" s="262"/>
      <c r="V483" s="262"/>
      <c r="W483" s="263"/>
      <c r="X483" s="263"/>
      <c r="Y483" s="263"/>
      <c r="Z483" s="263"/>
      <c r="AA483" s="263"/>
      <c r="AB483" s="263"/>
      <c r="AC483" s="263"/>
      <c r="AD483" s="263"/>
      <c r="AE483" s="263"/>
      <c r="AF483" s="263"/>
      <c r="AG483" s="263"/>
      <c r="AH483" s="263"/>
      <c r="AI483" s="263"/>
      <c r="AJ483" s="263"/>
      <c r="AK483" s="263"/>
    </row>
    <row r="484">
      <c r="L484" s="262"/>
      <c r="Q484" s="262"/>
      <c r="R484" s="262"/>
      <c r="S484" s="262"/>
      <c r="T484" s="262"/>
      <c r="U484" s="262"/>
      <c r="V484" s="262"/>
      <c r="W484" s="263"/>
      <c r="X484" s="263"/>
      <c r="Y484" s="263"/>
      <c r="Z484" s="263"/>
      <c r="AA484" s="263"/>
      <c r="AB484" s="263"/>
      <c r="AC484" s="263"/>
      <c r="AD484" s="263"/>
      <c r="AE484" s="263"/>
      <c r="AF484" s="263"/>
      <c r="AG484" s="263"/>
      <c r="AH484" s="263"/>
      <c r="AI484" s="263"/>
      <c r="AJ484" s="263"/>
      <c r="AK484" s="263"/>
    </row>
    <row r="485">
      <c r="L485" s="262"/>
      <c r="Q485" s="262"/>
      <c r="R485" s="262"/>
      <c r="S485" s="262"/>
      <c r="T485" s="262"/>
      <c r="U485" s="262"/>
      <c r="V485" s="262"/>
      <c r="W485" s="263"/>
      <c r="X485" s="263"/>
      <c r="Y485" s="263"/>
      <c r="Z485" s="263"/>
      <c r="AA485" s="263"/>
      <c r="AB485" s="263"/>
      <c r="AC485" s="263"/>
      <c r="AD485" s="263"/>
      <c r="AE485" s="263"/>
      <c r="AF485" s="263"/>
      <c r="AG485" s="263"/>
      <c r="AH485" s="263"/>
      <c r="AI485" s="263"/>
      <c r="AJ485" s="263"/>
      <c r="AK485" s="263"/>
    </row>
    <row r="486">
      <c r="L486" s="262"/>
      <c r="Q486" s="262"/>
      <c r="R486" s="262"/>
      <c r="S486" s="262"/>
      <c r="T486" s="262"/>
      <c r="U486" s="262"/>
      <c r="V486" s="262"/>
      <c r="W486" s="263"/>
      <c r="X486" s="263"/>
      <c r="Y486" s="263"/>
      <c r="Z486" s="263"/>
      <c r="AA486" s="263"/>
      <c r="AB486" s="263"/>
      <c r="AC486" s="263"/>
      <c r="AD486" s="263"/>
      <c r="AE486" s="263"/>
      <c r="AF486" s="263"/>
      <c r="AG486" s="263"/>
      <c r="AH486" s="263"/>
      <c r="AI486" s="263"/>
      <c r="AJ486" s="263"/>
      <c r="AK486" s="263"/>
    </row>
    <row r="487">
      <c r="L487" s="262"/>
      <c r="Q487" s="262"/>
      <c r="R487" s="262"/>
      <c r="S487" s="262"/>
      <c r="T487" s="262"/>
      <c r="U487" s="262"/>
      <c r="V487" s="262"/>
      <c r="W487" s="263"/>
      <c r="X487" s="263"/>
      <c r="Y487" s="263"/>
      <c r="Z487" s="263"/>
      <c r="AA487" s="263"/>
      <c r="AB487" s="263"/>
      <c r="AC487" s="263"/>
      <c r="AD487" s="263"/>
      <c r="AE487" s="263"/>
      <c r="AF487" s="263"/>
      <c r="AG487" s="263"/>
      <c r="AH487" s="263"/>
      <c r="AI487" s="263"/>
      <c r="AJ487" s="263"/>
      <c r="AK487" s="263"/>
    </row>
    <row r="488">
      <c r="L488" s="262"/>
      <c r="Q488" s="262"/>
      <c r="R488" s="262"/>
      <c r="S488" s="262"/>
      <c r="T488" s="262"/>
      <c r="U488" s="262"/>
      <c r="V488" s="262"/>
      <c r="W488" s="263"/>
      <c r="X488" s="263"/>
      <c r="Y488" s="263"/>
      <c r="Z488" s="263"/>
      <c r="AA488" s="263"/>
      <c r="AB488" s="263"/>
      <c r="AC488" s="263"/>
      <c r="AD488" s="263"/>
      <c r="AE488" s="263"/>
      <c r="AF488" s="263"/>
      <c r="AG488" s="263"/>
      <c r="AH488" s="263"/>
      <c r="AI488" s="263"/>
      <c r="AJ488" s="263"/>
      <c r="AK488" s="263"/>
    </row>
    <row r="489">
      <c r="L489" s="262"/>
      <c r="Q489" s="262"/>
      <c r="R489" s="262"/>
      <c r="S489" s="262"/>
      <c r="T489" s="262"/>
      <c r="U489" s="262"/>
      <c r="V489" s="262"/>
      <c r="W489" s="263"/>
      <c r="X489" s="263"/>
      <c r="Y489" s="263"/>
      <c r="Z489" s="263"/>
      <c r="AA489" s="263"/>
      <c r="AB489" s="263"/>
      <c r="AC489" s="263"/>
      <c r="AD489" s="263"/>
      <c r="AE489" s="263"/>
      <c r="AF489" s="263"/>
      <c r="AG489" s="263"/>
      <c r="AH489" s="263"/>
      <c r="AI489" s="263"/>
      <c r="AJ489" s="263"/>
      <c r="AK489" s="263"/>
    </row>
    <row r="490">
      <c r="L490" s="262"/>
      <c r="Q490" s="262"/>
      <c r="R490" s="262"/>
      <c r="S490" s="262"/>
      <c r="T490" s="262"/>
      <c r="U490" s="262"/>
      <c r="V490" s="262"/>
      <c r="W490" s="263"/>
      <c r="X490" s="263"/>
      <c r="Y490" s="263"/>
      <c r="Z490" s="263"/>
      <c r="AA490" s="263"/>
      <c r="AB490" s="263"/>
      <c r="AC490" s="263"/>
      <c r="AD490" s="263"/>
      <c r="AE490" s="263"/>
      <c r="AF490" s="263"/>
      <c r="AG490" s="263"/>
      <c r="AH490" s="263"/>
      <c r="AI490" s="263"/>
      <c r="AJ490" s="263"/>
      <c r="AK490" s="263"/>
    </row>
    <row r="491">
      <c r="L491" s="262"/>
      <c r="Q491" s="262"/>
      <c r="R491" s="262"/>
      <c r="S491" s="262"/>
      <c r="T491" s="262"/>
      <c r="U491" s="262"/>
      <c r="V491" s="262"/>
      <c r="W491" s="263"/>
      <c r="X491" s="263"/>
      <c r="Y491" s="263"/>
      <c r="Z491" s="263"/>
      <c r="AA491" s="263"/>
      <c r="AB491" s="263"/>
      <c r="AC491" s="263"/>
      <c r="AD491" s="263"/>
      <c r="AE491" s="263"/>
      <c r="AF491" s="263"/>
      <c r="AG491" s="263"/>
      <c r="AH491" s="263"/>
      <c r="AI491" s="263"/>
      <c r="AJ491" s="263"/>
      <c r="AK491" s="263"/>
    </row>
    <row r="492">
      <c r="L492" s="262"/>
      <c r="Q492" s="262"/>
      <c r="R492" s="262"/>
      <c r="S492" s="262"/>
      <c r="T492" s="262"/>
      <c r="U492" s="262"/>
      <c r="V492" s="262"/>
      <c r="W492" s="263"/>
      <c r="X492" s="263"/>
      <c r="Y492" s="263"/>
      <c r="Z492" s="263"/>
      <c r="AA492" s="263"/>
      <c r="AB492" s="263"/>
      <c r="AC492" s="263"/>
      <c r="AD492" s="263"/>
      <c r="AE492" s="263"/>
      <c r="AF492" s="263"/>
      <c r="AG492" s="263"/>
      <c r="AH492" s="263"/>
      <c r="AI492" s="263"/>
      <c r="AJ492" s="263"/>
      <c r="AK492" s="263"/>
    </row>
    <row r="493">
      <c r="L493" s="262"/>
      <c r="Q493" s="262"/>
      <c r="R493" s="262"/>
      <c r="S493" s="262"/>
      <c r="T493" s="262"/>
      <c r="U493" s="262"/>
      <c r="V493" s="262"/>
      <c r="W493" s="263"/>
      <c r="X493" s="263"/>
      <c r="Y493" s="263"/>
      <c r="Z493" s="263"/>
      <c r="AA493" s="263"/>
      <c r="AB493" s="263"/>
      <c r="AC493" s="263"/>
      <c r="AD493" s="263"/>
      <c r="AE493" s="263"/>
      <c r="AF493" s="263"/>
      <c r="AG493" s="263"/>
      <c r="AH493" s="263"/>
      <c r="AI493" s="263"/>
      <c r="AJ493" s="263"/>
      <c r="AK493" s="263"/>
    </row>
    <row r="494">
      <c r="L494" s="262"/>
      <c r="Q494" s="262"/>
      <c r="R494" s="262"/>
      <c r="S494" s="262"/>
      <c r="T494" s="262"/>
      <c r="U494" s="262"/>
      <c r="V494" s="262"/>
      <c r="W494" s="263"/>
      <c r="X494" s="263"/>
      <c r="Y494" s="263"/>
      <c r="Z494" s="263"/>
      <c r="AA494" s="263"/>
      <c r="AB494" s="263"/>
      <c r="AC494" s="263"/>
      <c r="AD494" s="263"/>
      <c r="AE494" s="263"/>
      <c r="AF494" s="263"/>
      <c r="AG494" s="263"/>
      <c r="AH494" s="263"/>
      <c r="AI494" s="263"/>
      <c r="AJ494" s="263"/>
      <c r="AK494" s="263"/>
    </row>
    <row r="495">
      <c r="L495" s="262"/>
      <c r="Q495" s="262"/>
      <c r="R495" s="262"/>
      <c r="S495" s="262"/>
      <c r="T495" s="262"/>
      <c r="U495" s="262"/>
      <c r="V495" s="262"/>
      <c r="W495" s="263"/>
      <c r="X495" s="263"/>
      <c r="Y495" s="263"/>
      <c r="Z495" s="263"/>
      <c r="AA495" s="263"/>
      <c r="AB495" s="263"/>
      <c r="AC495" s="263"/>
      <c r="AD495" s="263"/>
      <c r="AE495" s="263"/>
      <c r="AF495" s="263"/>
      <c r="AG495" s="263"/>
      <c r="AH495" s="263"/>
      <c r="AI495" s="263"/>
      <c r="AJ495" s="263"/>
      <c r="AK495" s="263"/>
    </row>
    <row r="496">
      <c r="L496" s="262"/>
      <c r="Q496" s="262"/>
      <c r="R496" s="262"/>
      <c r="S496" s="262"/>
      <c r="T496" s="262"/>
      <c r="U496" s="262"/>
      <c r="V496" s="262"/>
      <c r="W496" s="263"/>
      <c r="X496" s="263"/>
      <c r="Y496" s="263"/>
      <c r="Z496" s="263"/>
      <c r="AA496" s="263"/>
      <c r="AB496" s="263"/>
      <c r="AC496" s="263"/>
      <c r="AD496" s="263"/>
      <c r="AE496" s="263"/>
      <c r="AF496" s="263"/>
      <c r="AG496" s="263"/>
      <c r="AH496" s="263"/>
      <c r="AI496" s="263"/>
      <c r="AJ496" s="263"/>
      <c r="AK496" s="263"/>
    </row>
    <row r="497">
      <c r="L497" s="262"/>
      <c r="Q497" s="262"/>
      <c r="R497" s="262"/>
      <c r="S497" s="262"/>
      <c r="T497" s="262"/>
      <c r="U497" s="262"/>
      <c r="V497" s="262"/>
      <c r="W497" s="263"/>
      <c r="X497" s="263"/>
      <c r="Y497" s="263"/>
      <c r="Z497" s="263"/>
      <c r="AA497" s="263"/>
      <c r="AB497" s="263"/>
      <c r="AC497" s="263"/>
      <c r="AD497" s="263"/>
      <c r="AE497" s="263"/>
      <c r="AF497" s="263"/>
      <c r="AG497" s="263"/>
      <c r="AH497" s="263"/>
      <c r="AI497" s="263"/>
      <c r="AJ497" s="263"/>
      <c r="AK497" s="263"/>
    </row>
    <row r="498">
      <c r="L498" s="262"/>
      <c r="Q498" s="262"/>
      <c r="R498" s="262"/>
      <c r="S498" s="262"/>
      <c r="T498" s="262"/>
      <c r="U498" s="262"/>
      <c r="V498" s="262"/>
      <c r="W498" s="263"/>
      <c r="X498" s="263"/>
      <c r="Y498" s="263"/>
      <c r="Z498" s="263"/>
      <c r="AA498" s="263"/>
      <c r="AB498" s="263"/>
      <c r="AC498" s="263"/>
      <c r="AD498" s="263"/>
      <c r="AE498" s="263"/>
      <c r="AF498" s="263"/>
      <c r="AG498" s="263"/>
      <c r="AH498" s="263"/>
      <c r="AI498" s="263"/>
      <c r="AJ498" s="263"/>
      <c r="AK498" s="263"/>
    </row>
    <row r="499">
      <c r="L499" s="262"/>
      <c r="Q499" s="262"/>
      <c r="R499" s="262"/>
      <c r="S499" s="262"/>
      <c r="T499" s="262"/>
      <c r="U499" s="262"/>
      <c r="V499" s="262"/>
      <c r="W499" s="263"/>
      <c r="X499" s="263"/>
      <c r="Y499" s="263"/>
      <c r="Z499" s="263"/>
      <c r="AA499" s="263"/>
      <c r="AB499" s="263"/>
      <c r="AC499" s="263"/>
      <c r="AD499" s="263"/>
      <c r="AE499" s="263"/>
      <c r="AF499" s="263"/>
      <c r="AG499" s="263"/>
      <c r="AH499" s="263"/>
      <c r="AI499" s="263"/>
      <c r="AJ499" s="263"/>
      <c r="AK499" s="263"/>
    </row>
    <row r="500">
      <c r="L500" s="262"/>
      <c r="Q500" s="262"/>
      <c r="R500" s="262"/>
      <c r="S500" s="262"/>
      <c r="T500" s="262"/>
      <c r="U500" s="262"/>
      <c r="V500" s="262"/>
      <c r="W500" s="263"/>
      <c r="X500" s="263"/>
      <c r="Y500" s="263"/>
      <c r="Z500" s="263"/>
      <c r="AA500" s="263"/>
      <c r="AB500" s="263"/>
      <c r="AC500" s="263"/>
      <c r="AD500" s="263"/>
      <c r="AE500" s="263"/>
      <c r="AF500" s="263"/>
      <c r="AG500" s="263"/>
      <c r="AH500" s="263"/>
      <c r="AI500" s="263"/>
      <c r="AJ500" s="263"/>
      <c r="AK500" s="263"/>
    </row>
    <row r="501">
      <c r="L501" s="262"/>
      <c r="Q501" s="262"/>
      <c r="R501" s="262"/>
      <c r="S501" s="262"/>
      <c r="T501" s="262"/>
      <c r="U501" s="262"/>
      <c r="V501" s="262"/>
      <c r="W501" s="263"/>
      <c r="X501" s="263"/>
      <c r="Y501" s="263"/>
      <c r="Z501" s="263"/>
      <c r="AA501" s="263"/>
      <c r="AB501" s="263"/>
      <c r="AC501" s="263"/>
      <c r="AD501" s="263"/>
      <c r="AE501" s="263"/>
      <c r="AF501" s="263"/>
      <c r="AG501" s="263"/>
      <c r="AH501" s="263"/>
      <c r="AI501" s="263"/>
      <c r="AJ501" s="263"/>
      <c r="AK501" s="263"/>
    </row>
    <row r="502">
      <c r="L502" s="262"/>
      <c r="Q502" s="262"/>
      <c r="R502" s="262"/>
      <c r="S502" s="262"/>
      <c r="T502" s="262"/>
      <c r="U502" s="262"/>
      <c r="V502" s="262"/>
      <c r="W502" s="263"/>
      <c r="X502" s="263"/>
      <c r="Y502" s="263"/>
      <c r="Z502" s="263"/>
      <c r="AA502" s="263"/>
      <c r="AB502" s="263"/>
      <c r="AC502" s="263"/>
      <c r="AD502" s="263"/>
      <c r="AE502" s="263"/>
      <c r="AF502" s="263"/>
      <c r="AG502" s="263"/>
      <c r="AH502" s="263"/>
      <c r="AI502" s="263"/>
      <c r="AJ502" s="263"/>
      <c r="AK502" s="263"/>
    </row>
    <row r="503">
      <c r="L503" s="262"/>
      <c r="Q503" s="262"/>
      <c r="R503" s="262"/>
      <c r="S503" s="262"/>
      <c r="T503" s="262"/>
      <c r="U503" s="262"/>
      <c r="V503" s="262"/>
      <c r="W503" s="263"/>
      <c r="X503" s="263"/>
      <c r="Y503" s="263"/>
      <c r="Z503" s="263"/>
      <c r="AA503" s="263"/>
      <c r="AB503" s="263"/>
      <c r="AC503" s="263"/>
      <c r="AD503" s="263"/>
      <c r="AE503" s="263"/>
      <c r="AF503" s="263"/>
      <c r="AG503" s="263"/>
      <c r="AH503" s="263"/>
      <c r="AI503" s="263"/>
      <c r="AJ503" s="263"/>
      <c r="AK503" s="263"/>
    </row>
    <row r="504">
      <c r="L504" s="262"/>
      <c r="Q504" s="262"/>
      <c r="R504" s="262"/>
      <c r="S504" s="262"/>
      <c r="T504" s="262"/>
      <c r="U504" s="262"/>
      <c r="V504" s="262"/>
      <c r="W504" s="263"/>
      <c r="X504" s="263"/>
      <c r="Y504" s="263"/>
      <c r="Z504" s="263"/>
      <c r="AA504" s="263"/>
      <c r="AB504" s="263"/>
      <c r="AC504" s="263"/>
      <c r="AD504" s="263"/>
      <c r="AE504" s="263"/>
      <c r="AF504" s="263"/>
      <c r="AG504" s="263"/>
      <c r="AH504" s="263"/>
      <c r="AI504" s="263"/>
      <c r="AJ504" s="263"/>
      <c r="AK504" s="263"/>
    </row>
    <row r="505">
      <c r="L505" s="262"/>
      <c r="Q505" s="262"/>
      <c r="R505" s="262"/>
      <c r="S505" s="262"/>
      <c r="T505" s="262"/>
      <c r="U505" s="262"/>
      <c r="V505" s="262"/>
      <c r="W505" s="263"/>
      <c r="X505" s="263"/>
      <c r="Y505" s="263"/>
      <c r="Z505" s="263"/>
      <c r="AA505" s="263"/>
      <c r="AB505" s="263"/>
      <c r="AC505" s="263"/>
      <c r="AD505" s="263"/>
      <c r="AE505" s="263"/>
      <c r="AF505" s="263"/>
      <c r="AG505" s="263"/>
      <c r="AH505" s="263"/>
      <c r="AI505" s="263"/>
      <c r="AJ505" s="263"/>
      <c r="AK505" s="263"/>
    </row>
    <row r="506">
      <c r="L506" s="262"/>
      <c r="Q506" s="262"/>
      <c r="R506" s="262"/>
      <c r="S506" s="262"/>
      <c r="T506" s="262"/>
      <c r="U506" s="262"/>
      <c r="V506" s="262"/>
      <c r="W506" s="263"/>
      <c r="X506" s="263"/>
      <c r="Y506" s="263"/>
      <c r="Z506" s="263"/>
      <c r="AA506" s="263"/>
      <c r="AB506" s="263"/>
      <c r="AC506" s="263"/>
      <c r="AD506" s="263"/>
      <c r="AE506" s="263"/>
      <c r="AF506" s="263"/>
      <c r="AG506" s="263"/>
      <c r="AH506" s="263"/>
      <c r="AI506" s="263"/>
      <c r="AJ506" s="263"/>
      <c r="AK506" s="263"/>
    </row>
    <row r="507">
      <c r="L507" s="262"/>
      <c r="Q507" s="262"/>
      <c r="R507" s="262"/>
      <c r="S507" s="262"/>
      <c r="T507" s="262"/>
      <c r="U507" s="262"/>
      <c r="V507" s="262"/>
      <c r="W507" s="263"/>
      <c r="X507" s="263"/>
      <c r="Y507" s="263"/>
      <c r="Z507" s="263"/>
      <c r="AA507" s="263"/>
      <c r="AB507" s="263"/>
      <c r="AC507" s="263"/>
      <c r="AD507" s="263"/>
      <c r="AE507" s="263"/>
      <c r="AF507" s="263"/>
      <c r="AG507" s="263"/>
      <c r="AH507" s="263"/>
      <c r="AI507" s="263"/>
      <c r="AJ507" s="263"/>
      <c r="AK507" s="263"/>
    </row>
    <row r="508">
      <c r="L508" s="262"/>
      <c r="Q508" s="262"/>
      <c r="R508" s="262"/>
      <c r="S508" s="262"/>
      <c r="T508" s="262"/>
      <c r="U508" s="262"/>
      <c r="V508" s="262"/>
      <c r="W508" s="263"/>
      <c r="X508" s="263"/>
      <c r="Y508" s="263"/>
      <c r="Z508" s="263"/>
      <c r="AA508" s="263"/>
      <c r="AB508" s="263"/>
      <c r="AC508" s="263"/>
      <c r="AD508" s="263"/>
      <c r="AE508" s="263"/>
      <c r="AF508" s="263"/>
      <c r="AG508" s="263"/>
      <c r="AH508" s="263"/>
      <c r="AI508" s="263"/>
      <c r="AJ508" s="263"/>
      <c r="AK508" s="263"/>
    </row>
    <row r="509">
      <c r="L509" s="262"/>
      <c r="Q509" s="262"/>
      <c r="R509" s="262"/>
      <c r="S509" s="262"/>
      <c r="T509" s="262"/>
      <c r="U509" s="262"/>
      <c r="V509" s="262"/>
      <c r="W509" s="263"/>
      <c r="X509" s="263"/>
      <c r="Y509" s="263"/>
      <c r="Z509" s="263"/>
      <c r="AA509" s="263"/>
      <c r="AB509" s="263"/>
      <c r="AC509" s="263"/>
      <c r="AD509" s="263"/>
      <c r="AE509" s="263"/>
      <c r="AF509" s="263"/>
      <c r="AG509" s="263"/>
      <c r="AH509" s="263"/>
      <c r="AI509" s="263"/>
      <c r="AJ509" s="263"/>
      <c r="AK509" s="263"/>
    </row>
    <row r="510">
      <c r="L510" s="262"/>
      <c r="Q510" s="262"/>
      <c r="R510" s="262"/>
      <c r="S510" s="262"/>
      <c r="T510" s="262"/>
      <c r="U510" s="262"/>
      <c r="V510" s="262"/>
      <c r="W510" s="263"/>
      <c r="X510" s="263"/>
      <c r="Y510" s="263"/>
      <c r="Z510" s="263"/>
      <c r="AA510" s="263"/>
      <c r="AB510" s="263"/>
      <c r="AC510" s="263"/>
      <c r="AD510" s="263"/>
      <c r="AE510" s="263"/>
      <c r="AF510" s="263"/>
      <c r="AG510" s="263"/>
      <c r="AH510" s="263"/>
      <c r="AI510" s="263"/>
      <c r="AJ510" s="263"/>
      <c r="AK510" s="263"/>
    </row>
    <row r="511">
      <c r="L511" s="262"/>
      <c r="Q511" s="262"/>
      <c r="R511" s="262"/>
      <c r="S511" s="262"/>
      <c r="T511" s="262"/>
      <c r="U511" s="262"/>
      <c r="V511" s="262"/>
      <c r="W511" s="263"/>
      <c r="X511" s="263"/>
      <c r="Y511" s="263"/>
      <c r="Z511" s="263"/>
      <c r="AA511" s="263"/>
      <c r="AB511" s="263"/>
      <c r="AC511" s="263"/>
      <c r="AD511" s="263"/>
      <c r="AE511" s="263"/>
      <c r="AF511" s="263"/>
      <c r="AG511" s="263"/>
      <c r="AH511" s="263"/>
      <c r="AI511" s="263"/>
      <c r="AJ511" s="263"/>
      <c r="AK511" s="263"/>
    </row>
    <row r="512">
      <c r="L512" s="262"/>
      <c r="Q512" s="262"/>
      <c r="R512" s="262"/>
      <c r="S512" s="262"/>
      <c r="T512" s="262"/>
      <c r="U512" s="262"/>
      <c r="V512" s="262"/>
      <c r="W512" s="263"/>
      <c r="X512" s="263"/>
      <c r="Y512" s="263"/>
      <c r="Z512" s="263"/>
      <c r="AA512" s="263"/>
      <c r="AB512" s="263"/>
      <c r="AC512" s="263"/>
      <c r="AD512" s="263"/>
      <c r="AE512" s="263"/>
      <c r="AF512" s="263"/>
      <c r="AG512" s="263"/>
      <c r="AH512" s="263"/>
      <c r="AI512" s="263"/>
      <c r="AJ512" s="263"/>
      <c r="AK512" s="263"/>
    </row>
    <row r="513">
      <c r="L513" s="262"/>
      <c r="Q513" s="262"/>
      <c r="R513" s="262"/>
      <c r="S513" s="262"/>
      <c r="T513" s="262"/>
      <c r="U513" s="262"/>
      <c r="V513" s="262"/>
      <c r="W513" s="263"/>
      <c r="X513" s="263"/>
      <c r="Y513" s="263"/>
      <c r="Z513" s="263"/>
      <c r="AA513" s="263"/>
      <c r="AB513" s="263"/>
      <c r="AC513" s="263"/>
      <c r="AD513" s="263"/>
      <c r="AE513" s="263"/>
      <c r="AF513" s="263"/>
      <c r="AG513" s="263"/>
      <c r="AH513" s="263"/>
      <c r="AI513" s="263"/>
      <c r="AJ513" s="263"/>
      <c r="AK513" s="263"/>
    </row>
    <row r="514">
      <c r="L514" s="262"/>
      <c r="Q514" s="262"/>
      <c r="R514" s="262"/>
      <c r="S514" s="262"/>
      <c r="T514" s="262"/>
      <c r="U514" s="262"/>
      <c r="V514" s="262"/>
      <c r="W514" s="263"/>
      <c r="X514" s="263"/>
      <c r="Y514" s="263"/>
      <c r="Z514" s="263"/>
      <c r="AA514" s="263"/>
      <c r="AB514" s="263"/>
      <c r="AC514" s="263"/>
      <c r="AD514" s="263"/>
      <c r="AE514" s="263"/>
      <c r="AF514" s="263"/>
      <c r="AG514" s="263"/>
      <c r="AH514" s="263"/>
      <c r="AI514" s="263"/>
      <c r="AJ514" s="263"/>
      <c r="AK514" s="263"/>
    </row>
    <row r="515">
      <c r="L515" s="262"/>
      <c r="Q515" s="262"/>
      <c r="R515" s="262"/>
      <c r="S515" s="262"/>
      <c r="T515" s="262"/>
      <c r="U515" s="262"/>
      <c r="V515" s="262"/>
      <c r="W515" s="263"/>
      <c r="X515" s="263"/>
      <c r="Y515" s="263"/>
      <c r="Z515" s="263"/>
      <c r="AA515" s="263"/>
      <c r="AB515" s="263"/>
      <c r="AC515" s="263"/>
      <c r="AD515" s="263"/>
      <c r="AE515" s="263"/>
      <c r="AF515" s="263"/>
      <c r="AG515" s="263"/>
      <c r="AH515" s="263"/>
      <c r="AI515" s="263"/>
      <c r="AJ515" s="263"/>
      <c r="AK515" s="263"/>
    </row>
    <row r="516">
      <c r="L516" s="262"/>
      <c r="Q516" s="262"/>
      <c r="R516" s="262"/>
      <c r="S516" s="262"/>
      <c r="T516" s="262"/>
      <c r="U516" s="262"/>
      <c r="V516" s="262"/>
      <c r="W516" s="263"/>
      <c r="X516" s="263"/>
      <c r="Y516" s="263"/>
      <c r="Z516" s="263"/>
      <c r="AA516" s="263"/>
      <c r="AB516" s="263"/>
      <c r="AC516" s="263"/>
      <c r="AD516" s="263"/>
      <c r="AE516" s="263"/>
      <c r="AF516" s="263"/>
      <c r="AG516" s="263"/>
      <c r="AH516" s="263"/>
      <c r="AI516" s="263"/>
      <c r="AJ516" s="263"/>
      <c r="AK516" s="263"/>
    </row>
    <row r="517">
      <c r="L517" s="262"/>
      <c r="Q517" s="262"/>
      <c r="R517" s="262"/>
      <c r="S517" s="262"/>
      <c r="T517" s="262"/>
      <c r="U517" s="262"/>
      <c r="V517" s="262"/>
      <c r="W517" s="263"/>
      <c r="X517" s="263"/>
      <c r="Y517" s="263"/>
      <c r="Z517" s="263"/>
      <c r="AA517" s="263"/>
      <c r="AB517" s="263"/>
      <c r="AC517" s="263"/>
      <c r="AD517" s="263"/>
      <c r="AE517" s="263"/>
      <c r="AF517" s="263"/>
      <c r="AG517" s="263"/>
      <c r="AH517" s="263"/>
      <c r="AI517" s="263"/>
      <c r="AJ517" s="263"/>
      <c r="AK517" s="263"/>
    </row>
    <row r="518">
      <c r="L518" s="262"/>
      <c r="Q518" s="262"/>
      <c r="R518" s="262"/>
      <c r="S518" s="262"/>
      <c r="T518" s="262"/>
      <c r="U518" s="262"/>
      <c r="V518" s="262"/>
      <c r="W518" s="263"/>
      <c r="X518" s="263"/>
      <c r="Y518" s="263"/>
      <c r="Z518" s="263"/>
      <c r="AA518" s="263"/>
      <c r="AB518" s="263"/>
      <c r="AC518" s="263"/>
      <c r="AD518" s="263"/>
      <c r="AE518" s="263"/>
      <c r="AF518" s="263"/>
      <c r="AG518" s="263"/>
      <c r="AH518" s="263"/>
      <c r="AI518" s="263"/>
      <c r="AJ518" s="263"/>
      <c r="AK518" s="263"/>
    </row>
    <row r="519">
      <c r="L519" s="262"/>
      <c r="Q519" s="262"/>
      <c r="R519" s="262"/>
      <c r="S519" s="262"/>
      <c r="T519" s="262"/>
      <c r="U519" s="262"/>
      <c r="V519" s="262"/>
      <c r="W519" s="263"/>
      <c r="X519" s="263"/>
      <c r="Y519" s="263"/>
      <c r="Z519" s="263"/>
      <c r="AA519" s="263"/>
      <c r="AB519" s="263"/>
      <c r="AC519" s="263"/>
      <c r="AD519" s="263"/>
      <c r="AE519" s="263"/>
      <c r="AF519" s="263"/>
      <c r="AG519" s="263"/>
      <c r="AH519" s="263"/>
      <c r="AI519" s="263"/>
      <c r="AJ519" s="263"/>
      <c r="AK519" s="263"/>
    </row>
    <row r="520">
      <c r="L520" s="262"/>
      <c r="Q520" s="262"/>
      <c r="R520" s="262"/>
      <c r="S520" s="262"/>
      <c r="T520" s="262"/>
      <c r="U520" s="262"/>
      <c r="V520" s="262"/>
      <c r="W520" s="263"/>
      <c r="X520" s="263"/>
      <c r="Y520" s="263"/>
      <c r="Z520" s="263"/>
      <c r="AA520" s="263"/>
      <c r="AB520" s="263"/>
      <c r="AC520" s="263"/>
      <c r="AD520" s="263"/>
      <c r="AE520" s="263"/>
      <c r="AF520" s="263"/>
      <c r="AG520" s="263"/>
      <c r="AH520" s="263"/>
      <c r="AI520" s="263"/>
      <c r="AJ520" s="263"/>
      <c r="AK520" s="263"/>
    </row>
    <row r="521">
      <c r="L521" s="262"/>
      <c r="Q521" s="262"/>
      <c r="R521" s="262"/>
      <c r="S521" s="262"/>
      <c r="T521" s="262"/>
      <c r="U521" s="262"/>
      <c r="V521" s="262"/>
      <c r="W521" s="263"/>
      <c r="X521" s="263"/>
      <c r="Y521" s="263"/>
      <c r="Z521" s="263"/>
      <c r="AA521" s="263"/>
      <c r="AB521" s="263"/>
      <c r="AC521" s="263"/>
      <c r="AD521" s="263"/>
      <c r="AE521" s="263"/>
      <c r="AF521" s="263"/>
      <c r="AG521" s="263"/>
      <c r="AH521" s="263"/>
      <c r="AI521" s="263"/>
      <c r="AJ521" s="263"/>
      <c r="AK521" s="263"/>
    </row>
    <row r="522">
      <c r="L522" s="262"/>
      <c r="Q522" s="262"/>
      <c r="R522" s="262"/>
      <c r="S522" s="262"/>
      <c r="T522" s="262"/>
      <c r="U522" s="262"/>
      <c r="V522" s="262"/>
      <c r="W522" s="263"/>
      <c r="X522" s="263"/>
      <c r="Y522" s="263"/>
      <c r="Z522" s="263"/>
      <c r="AA522" s="263"/>
      <c r="AB522" s="263"/>
      <c r="AC522" s="263"/>
      <c r="AD522" s="263"/>
      <c r="AE522" s="263"/>
      <c r="AF522" s="263"/>
      <c r="AG522" s="263"/>
      <c r="AH522" s="263"/>
      <c r="AI522" s="263"/>
      <c r="AJ522" s="263"/>
      <c r="AK522" s="263"/>
    </row>
    <row r="523">
      <c r="L523" s="262"/>
      <c r="Q523" s="262"/>
      <c r="R523" s="262"/>
      <c r="S523" s="262"/>
      <c r="T523" s="262"/>
      <c r="U523" s="262"/>
      <c r="V523" s="262"/>
      <c r="W523" s="263"/>
      <c r="X523" s="263"/>
      <c r="Y523" s="263"/>
      <c r="Z523" s="263"/>
      <c r="AA523" s="263"/>
      <c r="AB523" s="263"/>
      <c r="AC523" s="263"/>
      <c r="AD523" s="263"/>
      <c r="AE523" s="263"/>
      <c r="AF523" s="263"/>
      <c r="AG523" s="263"/>
      <c r="AH523" s="263"/>
      <c r="AI523" s="263"/>
      <c r="AJ523" s="263"/>
      <c r="AK523" s="263"/>
    </row>
    <row r="524">
      <c r="L524" s="262"/>
      <c r="Q524" s="262"/>
      <c r="R524" s="262"/>
      <c r="S524" s="262"/>
      <c r="T524" s="262"/>
      <c r="U524" s="262"/>
      <c r="V524" s="262"/>
      <c r="W524" s="263"/>
      <c r="X524" s="263"/>
      <c r="Y524" s="263"/>
      <c r="Z524" s="263"/>
      <c r="AA524" s="263"/>
      <c r="AB524" s="263"/>
      <c r="AC524" s="263"/>
      <c r="AD524" s="263"/>
      <c r="AE524" s="263"/>
      <c r="AF524" s="263"/>
      <c r="AG524" s="263"/>
      <c r="AH524" s="263"/>
      <c r="AI524" s="263"/>
      <c r="AJ524" s="263"/>
      <c r="AK524" s="263"/>
    </row>
    <row r="525">
      <c r="L525" s="262"/>
      <c r="Q525" s="262"/>
      <c r="R525" s="262"/>
      <c r="S525" s="262"/>
      <c r="T525" s="262"/>
      <c r="U525" s="262"/>
      <c r="V525" s="262"/>
      <c r="W525" s="263"/>
      <c r="X525" s="263"/>
      <c r="Y525" s="263"/>
      <c r="Z525" s="263"/>
      <c r="AA525" s="263"/>
      <c r="AB525" s="263"/>
      <c r="AC525" s="263"/>
      <c r="AD525" s="263"/>
      <c r="AE525" s="263"/>
      <c r="AF525" s="263"/>
      <c r="AG525" s="263"/>
      <c r="AH525" s="263"/>
      <c r="AI525" s="263"/>
      <c r="AJ525" s="263"/>
      <c r="AK525" s="263"/>
    </row>
    <row r="526">
      <c r="L526" s="262"/>
      <c r="Q526" s="262"/>
      <c r="R526" s="262"/>
      <c r="S526" s="262"/>
      <c r="T526" s="262"/>
      <c r="U526" s="262"/>
      <c r="V526" s="262"/>
      <c r="W526" s="263"/>
      <c r="X526" s="263"/>
      <c r="Y526" s="263"/>
      <c r="Z526" s="263"/>
      <c r="AA526" s="263"/>
      <c r="AB526" s="263"/>
      <c r="AC526" s="263"/>
      <c r="AD526" s="263"/>
      <c r="AE526" s="263"/>
      <c r="AF526" s="263"/>
      <c r="AG526" s="263"/>
      <c r="AH526" s="263"/>
      <c r="AI526" s="263"/>
      <c r="AJ526" s="263"/>
      <c r="AK526" s="263"/>
    </row>
    <row r="527">
      <c r="L527" s="262"/>
      <c r="Q527" s="262"/>
      <c r="R527" s="262"/>
      <c r="S527" s="262"/>
      <c r="T527" s="262"/>
      <c r="U527" s="262"/>
      <c r="V527" s="262"/>
      <c r="W527" s="263"/>
      <c r="X527" s="263"/>
      <c r="Y527" s="263"/>
      <c r="Z527" s="263"/>
      <c r="AA527" s="263"/>
      <c r="AB527" s="263"/>
      <c r="AC527" s="263"/>
      <c r="AD527" s="263"/>
      <c r="AE527" s="263"/>
      <c r="AF527" s="263"/>
      <c r="AG527" s="263"/>
      <c r="AH527" s="263"/>
      <c r="AI527" s="263"/>
      <c r="AJ527" s="263"/>
      <c r="AK527" s="263"/>
    </row>
    <row r="528">
      <c r="L528" s="262"/>
      <c r="Q528" s="262"/>
      <c r="R528" s="262"/>
      <c r="S528" s="262"/>
      <c r="T528" s="262"/>
      <c r="U528" s="262"/>
      <c r="V528" s="262"/>
      <c r="W528" s="263"/>
      <c r="X528" s="263"/>
      <c r="Y528" s="263"/>
      <c r="Z528" s="263"/>
      <c r="AA528" s="263"/>
      <c r="AB528" s="263"/>
      <c r="AC528" s="263"/>
      <c r="AD528" s="263"/>
      <c r="AE528" s="263"/>
      <c r="AF528" s="263"/>
      <c r="AG528" s="263"/>
      <c r="AH528" s="263"/>
      <c r="AI528" s="263"/>
      <c r="AJ528" s="263"/>
      <c r="AK528" s="263"/>
    </row>
    <row r="529">
      <c r="L529" s="262"/>
      <c r="Q529" s="262"/>
      <c r="R529" s="262"/>
      <c r="S529" s="262"/>
      <c r="T529" s="262"/>
      <c r="U529" s="262"/>
      <c r="V529" s="262"/>
      <c r="W529" s="263"/>
      <c r="X529" s="263"/>
      <c r="Y529" s="263"/>
      <c r="Z529" s="263"/>
      <c r="AA529" s="263"/>
      <c r="AB529" s="263"/>
      <c r="AC529" s="263"/>
      <c r="AD529" s="263"/>
      <c r="AE529" s="263"/>
      <c r="AF529" s="263"/>
      <c r="AG529" s="263"/>
      <c r="AH529" s="263"/>
      <c r="AI529" s="263"/>
      <c r="AJ529" s="263"/>
      <c r="AK529" s="263"/>
    </row>
    <row r="530">
      <c r="L530" s="262"/>
      <c r="Q530" s="262"/>
      <c r="R530" s="262"/>
      <c r="S530" s="262"/>
      <c r="T530" s="262"/>
      <c r="U530" s="262"/>
      <c r="V530" s="262"/>
      <c r="W530" s="263"/>
      <c r="X530" s="263"/>
      <c r="Y530" s="263"/>
      <c r="Z530" s="263"/>
      <c r="AA530" s="263"/>
      <c r="AB530" s="263"/>
      <c r="AC530" s="263"/>
      <c r="AD530" s="263"/>
      <c r="AE530" s="263"/>
      <c r="AF530" s="263"/>
      <c r="AG530" s="263"/>
      <c r="AH530" s="263"/>
      <c r="AI530" s="263"/>
      <c r="AJ530" s="263"/>
      <c r="AK530" s="263"/>
    </row>
    <row r="531">
      <c r="L531" s="262"/>
      <c r="Q531" s="262"/>
      <c r="R531" s="262"/>
      <c r="S531" s="262"/>
      <c r="T531" s="262"/>
      <c r="U531" s="262"/>
      <c r="V531" s="262"/>
      <c r="W531" s="263"/>
      <c r="X531" s="263"/>
      <c r="Y531" s="263"/>
      <c r="Z531" s="263"/>
      <c r="AA531" s="263"/>
      <c r="AB531" s="263"/>
      <c r="AC531" s="263"/>
      <c r="AD531" s="263"/>
      <c r="AE531" s="263"/>
      <c r="AF531" s="263"/>
      <c r="AG531" s="263"/>
      <c r="AH531" s="263"/>
      <c r="AI531" s="263"/>
      <c r="AJ531" s="263"/>
      <c r="AK531" s="263"/>
    </row>
    <row r="532">
      <c r="L532" s="262"/>
      <c r="Q532" s="262"/>
      <c r="R532" s="262"/>
      <c r="S532" s="262"/>
      <c r="T532" s="262"/>
      <c r="U532" s="262"/>
      <c r="V532" s="262"/>
      <c r="W532" s="263"/>
      <c r="X532" s="263"/>
      <c r="Y532" s="263"/>
      <c r="Z532" s="263"/>
      <c r="AA532" s="263"/>
      <c r="AB532" s="263"/>
      <c r="AC532" s="263"/>
      <c r="AD532" s="263"/>
      <c r="AE532" s="263"/>
      <c r="AF532" s="263"/>
      <c r="AG532" s="263"/>
      <c r="AH532" s="263"/>
      <c r="AI532" s="263"/>
      <c r="AJ532" s="263"/>
      <c r="AK532" s="263"/>
    </row>
    <row r="533">
      <c r="L533" s="262"/>
      <c r="Q533" s="262"/>
      <c r="R533" s="262"/>
      <c r="S533" s="262"/>
      <c r="T533" s="262"/>
      <c r="U533" s="262"/>
      <c r="V533" s="262"/>
      <c r="W533" s="263"/>
      <c r="X533" s="263"/>
      <c r="Y533" s="263"/>
      <c r="Z533" s="263"/>
      <c r="AA533" s="263"/>
      <c r="AB533" s="263"/>
      <c r="AC533" s="263"/>
      <c r="AD533" s="263"/>
      <c r="AE533" s="263"/>
      <c r="AF533" s="263"/>
      <c r="AG533" s="263"/>
      <c r="AH533" s="263"/>
      <c r="AI533" s="263"/>
      <c r="AJ533" s="263"/>
      <c r="AK533" s="263"/>
    </row>
    <row r="534">
      <c r="L534" s="262"/>
      <c r="Q534" s="262"/>
      <c r="R534" s="262"/>
      <c r="S534" s="262"/>
      <c r="T534" s="262"/>
      <c r="U534" s="262"/>
      <c r="V534" s="262"/>
      <c r="W534" s="263"/>
      <c r="X534" s="263"/>
      <c r="Y534" s="263"/>
      <c r="Z534" s="263"/>
      <c r="AA534" s="263"/>
      <c r="AB534" s="263"/>
      <c r="AC534" s="263"/>
      <c r="AD534" s="263"/>
      <c r="AE534" s="263"/>
      <c r="AF534" s="263"/>
      <c r="AG534" s="263"/>
      <c r="AH534" s="263"/>
      <c r="AI534" s="263"/>
      <c r="AJ534" s="263"/>
      <c r="AK534" s="263"/>
    </row>
    <row r="535">
      <c r="L535" s="262"/>
      <c r="Q535" s="262"/>
      <c r="R535" s="262"/>
      <c r="S535" s="262"/>
      <c r="T535" s="262"/>
      <c r="U535" s="262"/>
      <c r="V535" s="262"/>
      <c r="W535" s="263"/>
      <c r="X535" s="263"/>
      <c r="Y535" s="263"/>
      <c r="Z535" s="263"/>
      <c r="AA535" s="263"/>
      <c r="AB535" s="263"/>
      <c r="AC535" s="263"/>
      <c r="AD535" s="263"/>
      <c r="AE535" s="263"/>
      <c r="AF535" s="263"/>
      <c r="AG535" s="263"/>
      <c r="AH535" s="263"/>
      <c r="AI535" s="263"/>
      <c r="AJ535" s="263"/>
      <c r="AK535" s="263"/>
    </row>
    <row r="536">
      <c r="L536" s="262"/>
      <c r="Q536" s="262"/>
      <c r="R536" s="262"/>
      <c r="S536" s="262"/>
      <c r="T536" s="262"/>
      <c r="U536" s="262"/>
      <c r="V536" s="262"/>
      <c r="W536" s="263"/>
      <c r="X536" s="263"/>
      <c r="Y536" s="263"/>
      <c r="Z536" s="263"/>
      <c r="AA536" s="263"/>
      <c r="AB536" s="263"/>
      <c r="AC536" s="263"/>
      <c r="AD536" s="263"/>
      <c r="AE536" s="263"/>
      <c r="AF536" s="263"/>
      <c r="AG536" s="263"/>
      <c r="AH536" s="263"/>
      <c r="AI536" s="263"/>
      <c r="AJ536" s="263"/>
      <c r="AK536" s="263"/>
    </row>
    <row r="537">
      <c r="L537" s="262"/>
      <c r="Q537" s="262"/>
      <c r="R537" s="262"/>
      <c r="S537" s="262"/>
      <c r="T537" s="262"/>
      <c r="U537" s="262"/>
      <c r="V537" s="262"/>
      <c r="W537" s="263"/>
      <c r="X537" s="263"/>
      <c r="Y537" s="263"/>
      <c r="Z537" s="263"/>
      <c r="AA537" s="263"/>
      <c r="AB537" s="263"/>
      <c r="AC537" s="263"/>
      <c r="AD537" s="263"/>
      <c r="AE537" s="263"/>
      <c r="AF537" s="263"/>
      <c r="AG537" s="263"/>
      <c r="AH537" s="263"/>
      <c r="AI537" s="263"/>
      <c r="AJ537" s="263"/>
      <c r="AK537" s="263"/>
    </row>
    <row r="538">
      <c r="L538" s="262"/>
      <c r="Q538" s="262"/>
      <c r="R538" s="262"/>
      <c r="S538" s="262"/>
      <c r="T538" s="262"/>
      <c r="U538" s="262"/>
      <c r="V538" s="262"/>
      <c r="W538" s="263"/>
      <c r="X538" s="263"/>
      <c r="Y538" s="263"/>
      <c r="Z538" s="263"/>
      <c r="AA538" s="263"/>
      <c r="AB538" s="263"/>
      <c r="AC538" s="263"/>
      <c r="AD538" s="263"/>
      <c r="AE538" s="263"/>
      <c r="AF538" s="263"/>
      <c r="AG538" s="263"/>
      <c r="AH538" s="263"/>
      <c r="AI538" s="263"/>
      <c r="AJ538" s="263"/>
      <c r="AK538" s="263"/>
    </row>
    <row r="539">
      <c r="L539" s="262"/>
      <c r="Q539" s="262"/>
      <c r="R539" s="262"/>
      <c r="S539" s="262"/>
      <c r="T539" s="262"/>
      <c r="U539" s="262"/>
      <c r="V539" s="262"/>
      <c r="W539" s="263"/>
      <c r="X539" s="263"/>
      <c r="Y539" s="263"/>
      <c r="Z539" s="263"/>
      <c r="AA539" s="263"/>
      <c r="AB539" s="263"/>
      <c r="AC539" s="263"/>
      <c r="AD539" s="263"/>
      <c r="AE539" s="263"/>
      <c r="AF539" s="263"/>
      <c r="AG539" s="263"/>
      <c r="AH539" s="263"/>
      <c r="AI539" s="263"/>
      <c r="AJ539" s="263"/>
      <c r="AK539" s="263"/>
    </row>
    <row r="540">
      <c r="L540" s="262"/>
      <c r="Q540" s="262"/>
      <c r="R540" s="262"/>
      <c r="S540" s="262"/>
      <c r="T540" s="262"/>
      <c r="U540" s="262"/>
      <c r="V540" s="262"/>
      <c r="W540" s="263"/>
      <c r="X540" s="263"/>
      <c r="Y540" s="263"/>
      <c r="Z540" s="263"/>
      <c r="AA540" s="263"/>
      <c r="AB540" s="263"/>
      <c r="AC540" s="263"/>
      <c r="AD540" s="263"/>
      <c r="AE540" s="263"/>
      <c r="AF540" s="263"/>
      <c r="AG540" s="263"/>
      <c r="AH540" s="263"/>
      <c r="AI540" s="263"/>
      <c r="AJ540" s="263"/>
      <c r="AK540" s="263"/>
    </row>
    <row r="541">
      <c r="L541" s="262"/>
      <c r="Q541" s="262"/>
      <c r="R541" s="262"/>
      <c r="S541" s="262"/>
      <c r="T541" s="262"/>
      <c r="U541" s="262"/>
      <c r="V541" s="262"/>
      <c r="W541" s="263"/>
      <c r="X541" s="263"/>
      <c r="Y541" s="263"/>
      <c r="Z541" s="263"/>
      <c r="AA541" s="263"/>
      <c r="AB541" s="263"/>
      <c r="AC541" s="263"/>
      <c r="AD541" s="263"/>
      <c r="AE541" s="263"/>
      <c r="AF541" s="263"/>
      <c r="AG541" s="263"/>
      <c r="AH541" s="263"/>
      <c r="AI541" s="263"/>
      <c r="AJ541" s="263"/>
      <c r="AK541" s="263"/>
    </row>
    <row r="542">
      <c r="L542" s="262"/>
      <c r="Q542" s="262"/>
      <c r="R542" s="262"/>
      <c r="S542" s="262"/>
      <c r="T542" s="262"/>
      <c r="U542" s="262"/>
      <c r="V542" s="262"/>
      <c r="W542" s="263"/>
      <c r="X542" s="263"/>
      <c r="Y542" s="263"/>
      <c r="Z542" s="263"/>
      <c r="AA542" s="263"/>
      <c r="AB542" s="263"/>
      <c r="AC542" s="263"/>
      <c r="AD542" s="263"/>
      <c r="AE542" s="263"/>
      <c r="AF542" s="263"/>
      <c r="AG542" s="263"/>
      <c r="AH542" s="263"/>
      <c r="AI542" s="263"/>
      <c r="AJ542" s="263"/>
      <c r="AK542" s="263"/>
    </row>
    <row r="543">
      <c r="L543" s="262"/>
      <c r="Q543" s="262"/>
      <c r="R543" s="262"/>
      <c r="S543" s="262"/>
      <c r="T543" s="262"/>
      <c r="U543" s="262"/>
      <c r="V543" s="262"/>
      <c r="W543" s="263"/>
      <c r="X543" s="263"/>
      <c r="Y543" s="263"/>
      <c r="Z543" s="263"/>
      <c r="AA543" s="263"/>
      <c r="AB543" s="263"/>
      <c r="AC543" s="263"/>
      <c r="AD543" s="263"/>
      <c r="AE543" s="263"/>
      <c r="AF543" s="263"/>
      <c r="AG543" s="263"/>
      <c r="AH543" s="263"/>
      <c r="AI543" s="263"/>
      <c r="AJ543" s="263"/>
      <c r="AK543" s="263"/>
    </row>
    <row r="544">
      <c r="L544" s="262"/>
      <c r="Q544" s="262"/>
      <c r="R544" s="262"/>
      <c r="S544" s="262"/>
      <c r="T544" s="262"/>
      <c r="U544" s="262"/>
      <c r="V544" s="262"/>
      <c r="W544" s="263"/>
      <c r="X544" s="263"/>
      <c r="Y544" s="263"/>
      <c r="Z544" s="263"/>
      <c r="AA544" s="263"/>
      <c r="AB544" s="263"/>
      <c r="AC544" s="263"/>
      <c r="AD544" s="263"/>
      <c r="AE544" s="263"/>
      <c r="AF544" s="263"/>
      <c r="AG544" s="263"/>
      <c r="AH544" s="263"/>
      <c r="AI544" s="263"/>
      <c r="AJ544" s="263"/>
      <c r="AK544" s="263"/>
    </row>
    <row r="545">
      <c r="L545" s="262"/>
      <c r="Q545" s="262"/>
      <c r="R545" s="262"/>
      <c r="S545" s="262"/>
      <c r="T545" s="262"/>
      <c r="U545" s="262"/>
      <c r="V545" s="262"/>
      <c r="W545" s="263"/>
      <c r="X545" s="263"/>
      <c r="Y545" s="263"/>
      <c r="Z545" s="263"/>
      <c r="AA545" s="263"/>
      <c r="AB545" s="263"/>
      <c r="AC545" s="263"/>
      <c r="AD545" s="263"/>
      <c r="AE545" s="263"/>
      <c r="AF545" s="263"/>
      <c r="AG545" s="263"/>
      <c r="AH545" s="263"/>
      <c r="AI545" s="263"/>
      <c r="AJ545" s="263"/>
      <c r="AK545" s="263"/>
    </row>
    <row r="546">
      <c r="L546" s="262"/>
      <c r="Q546" s="262"/>
      <c r="R546" s="262"/>
      <c r="S546" s="262"/>
      <c r="T546" s="262"/>
      <c r="U546" s="262"/>
      <c r="V546" s="262"/>
      <c r="W546" s="263"/>
      <c r="X546" s="263"/>
      <c r="Y546" s="263"/>
      <c r="Z546" s="263"/>
      <c r="AA546" s="263"/>
      <c r="AB546" s="263"/>
      <c r="AC546" s="263"/>
      <c r="AD546" s="263"/>
      <c r="AE546" s="263"/>
      <c r="AF546" s="263"/>
      <c r="AG546" s="263"/>
      <c r="AH546" s="263"/>
      <c r="AI546" s="263"/>
      <c r="AJ546" s="263"/>
      <c r="AK546" s="263"/>
    </row>
    <row r="547">
      <c r="L547" s="262"/>
      <c r="Q547" s="262"/>
      <c r="R547" s="262"/>
      <c r="S547" s="262"/>
      <c r="T547" s="262"/>
      <c r="U547" s="262"/>
      <c r="V547" s="262"/>
      <c r="W547" s="263"/>
      <c r="X547" s="263"/>
      <c r="Y547" s="263"/>
      <c r="Z547" s="263"/>
      <c r="AA547" s="263"/>
      <c r="AB547" s="263"/>
      <c r="AC547" s="263"/>
      <c r="AD547" s="263"/>
      <c r="AE547" s="263"/>
      <c r="AF547" s="263"/>
      <c r="AG547" s="263"/>
      <c r="AH547" s="263"/>
      <c r="AI547" s="263"/>
      <c r="AJ547" s="263"/>
      <c r="AK547" s="263"/>
    </row>
    <row r="548">
      <c r="L548" s="262"/>
      <c r="Q548" s="262"/>
      <c r="R548" s="262"/>
      <c r="S548" s="262"/>
      <c r="T548" s="262"/>
      <c r="U548" s="262"/>
      <c r="V548" s="262"/>
      <c r="W548" s="263"/>
      <c r="X548" s="263"/>
      <c r="Y548" s="263"/>
      <c r="Z548" s="263"/>
      <c r="AA548" s="263"/>
      <c r="AB548" s="263"/>
      <c r="AC548" s="263"/>
      <c r="AD548" s="263"/>
      <c r="AE548" s="263"/>
      <c r="AF548" s="263"/>
      <c r="AG548" s="263"/>
      <c r="AH548" s="263"/>
      <c r="AI548" s="263"/>
      <c r="AJ548" s="263"/>
      <c r="AK548" s="263"/>
    </row>
    <row r="549">
      <c r="L549" s="262"/>
      <c r="Q549" s="262"/>
      <c r="R549" s="262"/>
      <c r="S549" s="262"/>
      <c r="T549" s="262"/>
      <c r="U549" s="262"/>
      <c r="V549" s="262"/>
      <c r="W549" s="263"/>
      <c r="X549" s="263"/>
      <c r="Y549" s="263"/>
      <c r="Z549" s="263"/>
      <c r="AA549" s="263"/>
      <c r="AB549" s="263"/>
      <c r="AC549" s="263"/>
      <c r="AD549" s="263"/>
      <c r="AE549" s="263"/>
      <c r="AF549" s="263"/>
      <c r="AG549" s="263"/>
      <c r="AH549" s="263"/>
      <c r="AI549" s="263"/>
      <c r="AJ549" s="263"/>
      <c r="AK549" s="263"/>
    </row>
    <row r="550">
      <c r="L550" s="262"/>
      <c r="Q550" s="262"/>
      <c r="R550" s="262"/>
      <c r="S550" s="262"/>
      <c r="T550" s="262"/>
      <c r="U550" s="262"/>
      <c r="V550" s="262"/>
      <c r="W550" s="263"/>
      <c r="X550" s="263"/>
      <c r="Y550" s="263"/>
      <c r="Z550" s="263"/>
      <c r="AA550" s="263"/>
      <c r="AB550" s="263"/>
      <c r="AC550" s="263"/>
      <c r="AD550" s="263"/>
      <c r="AE550" s="263"/>
      <c r="AF550" s="263"/>
      <c r="AG550" s="263"/>
      <c r="AH550" s="263"/>
      <c r="AI550" s="263"/>
      <c r="AJ550" s="263"/>
      <c r="AK550" s="263"/>
    </row>
    <row r="551">
      <c r="L551" s="262"/>
      <c r="Q551" s="262"/>
      <c r="R551" s="262"/>
      <c r="S551" s="262"/>
      <c r="T551" s="262"/>
      <c r="U551" s="262"/>
      <c r="V551" s="262"/>
      <c r="W551" s="263"/>
      <c r="X551" s="263"/>
      <c r="Y551" s="263"/>
      <c r="Z551" s="263"/>
      <c r="AA551" s="263"/>
      <c r="AB551" s="263"/>
      <c r="AC551" s="263"/>
      <c r="AD551" s="263"/>
      <c r="AE551" s="263"/>
      <c r="AF551" s="263"/>
      <c r="AG551" s="263"/>
      <c r="AH551" s="263"/>
      <c r="AI551" s="263"/>
      <c r="AJ551" s="263"/>
      <c r="AK551" s="263"/>
    </row>
    <row r="552">
      <c r="L552" s="262"/>
      <c r="Q552" s="262"/>
      <c r="R552" s="262"/>
      <c r="S552" s="262"/>
      <c r="T552" s="262"/>
      <c r="U552" s="262"/>
      <c r="V552" s="262"/>
      <c r="W552" s="263"/>
      <c r="X552" s="263"/>
      <c r="Y552" s="263"/>
      <c r="Z552" s="263"/>
      <c r="AA552" s="263"/>
      <c r="AB552" s="263"/>
      <c r="AC552" s="263"/>
      <c r="AD552" s="263"/>
      <c r="AE552" s="263"/>
      <c r="AF552" s="263"/>
      <c r="AG552" s="263"/>
      <c r="AH552" s="263"/>
      <c r="AI552" s="263"/>
      <c r="AJ552" s="263"/>
      <c r="AK552" s="263"/>
    </row>
    <row r="553">
      <c r="L553" s="262"/>
      <c r="Q553" s="262"/>
      <c r="R553" s="262"/>
      <c r="S553" s="262"/>
      <c r="T553" s="262"/>
      <c r="U553" s="262"/>
      <c r="V553" s="262"/>
      <c r="W553" s="263"/>
      <c r="X553" s="263"/>
      <c r="Y553" s="263"/>
      <c r="Z553" s="263"/>
      <c r="AA553" s="263"/>
      <c r="AB553" s="263"/>
      <c r="AC553" s="263"/>
      <c r="AD553" s="263"/>
      <c r="AE553" s="263"/>
      <c r="AF553" s="263"/>
      <c r="AG553" s="263"/>
      <c r="AH553" s="263"/>
      <c r="AI553" s="263"/>
      <c r="AJ553" s="263"/>
      <c r="AK553" s="263"/>
    </row>
    <row r="554">
      <c r="L554" s="262"/>
      <c r="Q554" s="262"/>
      <c r="R554" s="262"/>
      <c r="S554" s="262"/>
      <c r="T554" s="262"/>
      <c r="U554" s="262"/>
      <c r="V554" s="262"/>
      <c r="W554" s="263"/>
      <c r="X554" s="263"/>
      <c r="Y554" s="263"/>
      <c r="Z554" s="263"/>
      <c r="AA554" s="263"/>
      <c r="AB554" s="263"/>
      <c r="AC554" s="263"/>
      <c r="AD554" s="263"/>
      <c r="AE554" s="263"/>
      <c r="AF554" s="263"/>
      <c r="AG554" s="263"/>
      <c r="AH554" s="263"/>
      <c r="AI554" s="263"/>
      <c r="AJ554" s="263"/>
      <c r="AK554" s="263"/>
    </row>
    <row r="555">
      <c r="L555" s="262"/>
      <c r="Q555" s="262"/>
      <c r="R555" s="262"/>
      <c r="S555" s="262"/>
      <c r="T555" s="262"/>
      <c r="U555" s="262"/>
      <c r="V555" s="262"/>
      <c r="W555" s="263"/>
      <c r="X555" s="263"/>
      <c r="Y555" s="263"/>
      <c r="Z555" s="263"/>
      <c r="AA555" s="263"/>
      <c r="AB555" s="263"/>
      <c r="AC555" s="263"/>
      <c r="AD555" s="263"/>
      <c r="AE555" s="263"/>
      <c r="AF555" s="263"/>
      <c r="AG555" s="263"/>
      <c r="AH555" s="263"/>
      <c r="AI555" s="263"/>
      <c r="AJ555" s="263"/>
      <c r="AK555" s="263"/>
    </row>
    <row r="556">
      <c r="L556" s="262"/>
      <c r="Q556" s="262"/>
      <c r="R556" s="262"/>
      <c r="S556" s="262"/>
      <c r="T556" s="262"/>
      <c r="U556" s="262"/>
      <c r="V556" s="262"/>
      <c r="W556" s="263"/>
      <c r="X556" s="263"/>
      <c r="Y556" s="263"/>
      <c r="Z556" s="263"/>
      <c r="AA556" s="263"/>
      <c r="AB556" s="263"/>
      <c r="AC556" s="263"/>
      <c r="AD556" s="263"/>
      <c r="AE556" s="263"/>
      <c r="AF556" s="263"/>
      <c r="AG556" s="263"/>
      <c r="AH556" s="263"/>
      <c r="AI556" s="263"/>
      <c r="AJ556" s="263"/>
      <c r="AK556" s="263"/>
    </row>
    <row r="557">
      <c r="L557" s="262"/>
      <c r="Q557" s="262"/>
      <c r="R557" s="262"/>
      <c r="S557" s="262"/>
      <c r="T557" s="262"/>
      <c r="U557" s="262"/>
      <c r="V557" s="262"/>
      <c r="W557" s="263"/>
      <c r="X557" s="263"/>
      <c r="Y557" s="263"/>
      <c r="Z557" s="263"/>
      <c r="AA557" s="263"/>
      <c r="AB557" s="263"/>
      <c r="AC557" s="263"/>
      <c r="AD557" s="263"/>
      <c r="AE557" s="263"/>
      <c r="AF557" s="263"/>
      <c r="AG557" s="263"/>
      <c r="AH557" s="263"/>
      <c r="AI557" s="263"/>
      <c r="AJ557" s="263"/>
      <c r="AK557" s="263"/>
    </row>
    <row r="558">
      <c r="L558" s="262"/>
      <c r="Q558" s="262"/>
      <c r="R558" s="262"/>
      <c r="S558" s="262"/>
      <c r="T558" s="262"/>
      <c r="U558" s="262"/>
      <c r="V558" s="262"/>
      <c r="W558" s="263"/>
      <c r="X558" s="263"/>
      <c r="Y558" s="263"/>
      <c r="Z558" s="263"/>
      <c r="AA558" s="263"/>
      <c r="AB558" s="263"/>
      <c r="AC558" s="263"/>
      <c r="AD558" s="263"/>
      <c r="AE558" s="263"/>
      <c r="AF558" s="263"/>
      <c r="AG558" s="263"/>
      <c r="AH558" s="263"/>
      <c r="AI558" s="263"/>
      <c r="AJ558" s="263"/>
      <c r="AK558" s="263"/>
    </row>
    <row r="559">
      <c r="L559" s="262"/>
      <c r="Q559" s="262"/>
      <c r="R559" s="262"/>
      <c r="S559" s="262"/>
      <c r="T559" s="262"/>
      <c r="U559" s="262"/>
      <c r="V559" s="262"/>
      <c r="W559" s="263"/>
      <c r="X559" s="263"/>
      <c r="Y559" s="263"/>
      <c r="Z559" s="263"/>
      <c r="AA559" s="263"/>
      <c r="AB559" s="263"/>
      <c r="AC559" s="263"/>
      <c r="AD559" s="263"/>
      <c r="AE559" s="263"/>
      <c r="AF559" s="263"/>
      <c r="AG559" s="263"/>
      <c r="AH559" s="263"/>
      <c r="AI559" s="263"/>
      <c r="AJ559" s="263"/>
      <c r="AK559" s="263"/>
    </row>
    <row r="560">
      <c r="L560" s="262"/>
      <c r="Q560" s="262"/>
      <c r="R560" s="262"/>
      <c r="S560" s="262"/>
      <c r="T560" s="262"/>
      <c r="U560" s="262"/>
      <c r="V560" s="262"/>
      <c r="W560" s="263"/>
      <c r="X560" s="263"/>
      <c r="Y560" s="263"/>
      <c r="Z560" s="263"/>
      <c r="AA560" s="263"/>
      <c r="AB560" s="263"/>
      <c r="AC560" s="263"/>
      <c r="AD560" s="263"/>
      <c r="AE560" s="263"/>
      <c r="AF560" s="263"/>
      <c r="AG560" s="263"/>
      <c r="AH560" s="263"/>
      <c r="AI560" s="263"/>
      <c r="AJ560" s="263"/>
      <c r="AK560" s="263"/>
    </row>
    <row r="561">
      <c r="L561" s="262"/>
      <c r="Q561" s="262"/>
      <c r="R561" s="262"/>
      <c r="S561" s="262"/>
      <c r="T561" s="262"/>
      <c r="U561" s="262"/>
      <c r="V561" s="262"/>
      <c r="W561" s="263"/>
      <c r="X561" s="263"/>
      <c r="Y561" s="263"/>
      <c r="Z561" s="263"/>
      <c r="AA561" s="263"/>
      <c r="AB561" s="263"/>
      <c r="AC561" s="263"/>
      <c r="AD561" s="263"/>
      <c r="AE561" s="263"/>
      <c r="AF561" s="263"/>
      <c r="AG561" s="263"/>
      <c r="AH561" s="263"/>
      <c r="AI561" s="263"/>
      <c r="AJ561" s="263"/>
      <c r="AK561" s="263"/>
    </row>
    <row r="562">
      <c r="L562" s="262"/>
      <c r="Q562" s="262"/>
      <c r="R562" s="262"/>
      <c r="S562" s="262"/>
      <c r="T562" s="262"/>
      <c r="U562" s="262"/>
      <c r="V562" s="262"/>
      <c r="W562" s="263"/>
      <c r="X562" s="263"/>
      <c r="Y562" s="263"/>
      <c r="Z562" s="263"/>
      <c r="AA562" s="263"/>
      <c r="AB562" s="263"/>
      <c r="AC562" s="263"/>
      <c r="AD562" s="263"/>
      <c r="AE562" s="263"/>
      <c r="AF562" s="263"/>
      <c r="AG562" s="263"/>
      <c r="AH562" s="263"/>
      <c r="AI562" s="263"/>
      <c r="AJ562" s="263"/>
      <c r="AK562" s="263"/>
    </row>
    <row r="563">
      <c r="L563" s="262"/>
      <c r="Q563" s="262"/>
      <c r="R563" s="262"/>
      <c r="S563" s="262"/>
      <c r="T563" s="262"/>
      <c r="U563" s="262"/>
      <c r="V563" s="262"/>
      <c r="W563" s="263"/>
      <c r="X563" s="263"/>
      <c r="Y563" s="263"/>
      <c r="Z563" s="263"/>
      <c r="AA563" s="263"/>
      <c r="AB563" s="263"/>
      <c r="AC563" s="263"/>
      <c r="AD563" s="263"/>
      <c r="AE563" s="263"/>
      <c r="AF563" s="263"/>
      <c r="AG563" s="263"/>
      <c r="AH563" s="263"/>
      <c r="AI563" s="263"/>
      <c r="AJ563" s="263"/>
      <c r="AK563" s="263"/>
    </row>
    <row r="564">
      <c r="L564" s="262"/>
      <c r="Q564" s="262"/>
      <c r="R564" s="262"/>
      <c r="S564" s="262"/>
      <c r="T564" s="262"/>
      <c r="U564" s="262"/>
      <c r="V564" s="262"/>
      <c r="W564" s="263"/>
      <c r="X564" s="263"/>
      <c r="Y564" s="263"/>
      <c r="Z564" s="263"/>
      <c r="AA564" s="263"/>
      <c r="AB564" s="263"/>
      <c r="AC564" s="263"/>
      <c r="AD564" s="263"/>
      <c r="AE564" s="263"/>
      <c r="AF564" s="263"/>
      <c r="AG564" s="263"/>
      <c r="AH564" s="263"/>
      <c r="AI564" s="263"/>
      <c r="AJ564" s="263"/>
      <c r="AK564" s="263"/>
    </row>
    <row r="565">
      <c r="L565" s="262"/>
      <c r="Q565" s="262"/>
      <c r="R565" s="262"/>
      <c r="S565" s="262"/>
      <c r="T565" s="262"/>
      <c r="U565" s="262"/>
      <c r="V565" s="262"/>
      <c r="W565" s="263"/>
      <c r="X565" s="263"/>
      <c r="Y565" s="263"/>
      <c r="Z565" s="263"/>
      <c r="AA565" s="263"/>
      <c r="AB565" s="263"/>
      <c r="AC565" s="263"/>
      <c r="AD565" s="263"/>
      <c r="AE565" s="263"/>
      <c r="AF565" s="263"/>
      <c r="AG565" s="263"/>
      <c r="AH565" s="263"/>
      <c r="AI565" s="263"/>
      <c r="AJ565" s="263"/>
      <c r="AK565" s="263"/>
    </row>
    <row r="566">
      <c r="L566" s="262"/>
      <c r="Q566" s="262"/>
      <c r="R566" s="262"/>
      <c r="S566" s="262"/>
      <c r="T566" s="262"/>
      <c r="U566" s="262"/>
      <c r="V566" s="262"/>
      <c r="W566" s="263"/>
      <c r="X566" s="263"/>
      <c r="Y566" s="263"/>
      <c r="Z566" s="263"/>
      <c r="AA566" s="263"/>
      <c r="AB566" s="263"/>
      <c r="AC566" s="263"/>
      <c r="AD566" s="263"/>
      <c r="AE566" s="263"/>
      <c r="AF566" s="263"/>
      <c r="AG566" s="263"/>
      <c r="AH566" s="263"/>
      <c r="AI566" s="263"/>
      <c r="AJ566" s="263"/>
      <c r="AK566" s="263"/>
    </row>
    <row r="567">
      <c r="L567" s="262"/>
      <c r="Q567" s="262"/>
      <c r="R567" s="262"/>
      <c r="S567" s="262"/>
      <c r="T567" s="262"/>
      <c r="U567" s="262"/>
      <c r="V567" s="262"/>
      <c r="W567" s="263"/>
      <c r="X567" s="263"/>
      <c r="Y567" s="263"/>
      <c r="Z567" s="263"/>
      <c r="AA567" s="263"/>
      <c r="AB567" s="263"/>
      <c r="AC567" s="263"/>
      <c r="AD567" s="263"/>
      <c r="AE567" s="263"/>
      <c r="AF567" s="263"/>
      <c r="AG567" s="263"/>
      <c r="AH567" s="263"/>
      <c r="AI567" s="263"/>
      <c r="AJ567" s="263"/>
      <c r="AK567" s="263"/>
    </row>
    <row r="568">
      <c r="L568" s="262"/>
      <c r="Q568" s="262"/>
      <c r="R568" s="262"/>
      <c r="S568" s="262"/>
      <c r="T568" s="262"/>
      <c r="U568" s="262"/>
      <c r="V568" s="262"/>
      <c r="W568" s="263"/>
      <c r="X568" s="263"/>
      <c r="Y568" s="263"/>
      <c r="Z568" s="263"/>
      <c r="AA568" s="263"/>
      <c r="AB568" s="263"/>
      <c r="AC568" s="263"/>
      <c r="AD568" s="263"/>
      <c r="AE568" s="263"/>
      <c r="AF568" s="263"/>
      <c r="AG568" s="263"/>
      <c r="AH568" s="263"/>
      <c r="AI568" s="263"/>
      <c r="AJ568" s="263"/>
      <c r="AK568" s="263"/>
    </row>
    <row r="569">
      <c r="L569" s="262"/>
      <c r="Q569" s="262"/>
      <c r="R569" s="262"/>
      <c r="S569" s="262"/>
      <c r="T569" s="262"/>
      <c r="U569" s="262"/>
      <c r="V569" s="262"/>
      <c r="W569" s="263"/>
      <c r="X569" s="263"/>
      <c r="Y569" s="263"/>
      <c r="Z569" s="263"/>
      <c r="AA569" s="263"/>
      <c r="AB569" s="263"/>
      <c r="AC569" s="263"/>
      <c r="AD569" s="263"/>
      <c r="AE569" s="263"/>
      <c r="AF569" s="263"/>
      <c r="AG569" s="263"/>
      <c r="AH569" s="263"/>
      <c r="AI569" s="263"/>
      <c r="AJ569" s="263"/>
      <c r="AK569" s="263"/>
    </row>
    <row r="570">
      <c r="L570" s="262"/>
      <c r="Q570" s="262"/>
      <c r="R570" s="262"/>
      <c r="S570" s="262"/>
      <c r="T570" s="262"/>
      <c r="U570" s="262"/>
      <c r="V570" s="262"/>
      <c r="W570" s="263"/>
      <c r="X570" s="263"/>
      <c r="Y570" s="263"/>
      <c r="Z570" s="263"/>
      <c r="AA570" s="263"/>
      <c r="AB570" s="263"/>
      <c r="AC570" s="263"/>
      <c r="AD570" s="263"/>
      <c r="AE570" s="263"/>
      <c r="AF570" s="263"/>
      <c r="AG570" s="263"/>
      <c r="AH570" s="263"/>
      <c r="AI570" s="263"/>
      <c r="AJ570" s="263"/>
      <c r="AK570" s="263"/>
    </row>
    <row r="571">
      <c r="L571" s="262"/>
      <c r="Q571" s="262"/>
      <c r="R571" s="262"/>
      <c r="S571" s="262"/>
      <c r="T571" s="262"/>
      <c r="U571" s="262"/>
      <c r="V571" s="262"/>
      <c r="W571" s="263"/>
      <c r="X571" s="263"/>
      <c r="Y571" s="263"/>
      <c r="Z571" s="263"/>
      <c r="AA571" s="263"/>
      <c r="AB571" s="263"/>
      <c r="AC571" s="263"/>
      <c r="AD571" s="263"/>
      <c r="AE571" s="263"/>
      <c r="AF571" s="263"/>
      <c r="AG571" s="263"/>
      <c r="AH571" s="263"/>
      <c r="AI571" s="263"/>
      <c r="AJ571" s="263"/>
      <c r="AK571" s="263"/>
    </row>
    <row r="572">
      <c r="L572" s="262"/>
      <c r="Q572" s="262"/>
      <c r="R572" s="262"/>
      <c r="S572" s="262"/>
      <c r="T572" s="262"/>
      <c r="U572" s="262"/>
      <c r="V572" s="262"/>
      <c r="W572" s="263"/>
      <c r="X572" s="263"/>
      <c r="Y572" s="263"/>
      <c r="Z572" s="263"/>
      <c r="AA572" s="263"/>
      <c r="AB572" s="263"/>
      <c r="AC572" s="263"/>
      <c r="AD572" s="263"/>
      <c r="AE572" s="263"/>
      <c r="AF572" s="263"/>
      <c r="AG572" s="263"/>
      <c r="AH572" s="263"/>
      <c r="AI572" s="263"/>
      <c r="AJ572" s="263"/>
      <c r="AK572" s="263"/>
    </row>
    <row r="573">
      <c r="L573" s="262"/>
      <c r="Q573" s="262"/>
      <c r="R573" s="262"/>
      <c r="S573" s="262"/>
      <c r="T573" s="262"/>
      <c r="U573" s="262"/>
      <c r="V573" s="262"/>
      <c r="W573" s="263"/>
      <c r="X573" s="263"/>
      <c r="Y573" s="263"/>
      <c r="Z573" s="263"/>
      <c r="AA573" s="263"/>
      <c r="AB573" s="263"/>
      <c r="AC573" s="263"/>
      <c r="AD573" s="263"/>
      <c r="AE573" s="263"/>
      <c r="AF573" s="263"/>
      <c r="AG573" s="263"/>
      <c r="AH573" s="263"/>
      <c r="AI573" s="263"/>
      <c r="AJ573" s="263"/>
      <c r="AK573" s="263"/>
    </row>
    <row r="574">
      <c r="L574" s="262"/>
      <c r="Q574" s="262"/>
      <c r="R574" s="262"/>
      <c r="S574" s="262"/>
      <c r="T574" s="262"/>
      <c r="U574" s="262"/>
      <c r="V574" s="262"/>
      <c r="W574" s="263"/>
      <c r="X574" s="263"/>
      <c r="Y574" s="263"/>
      <c r="Z574" s="263"/>
      <c r="AA574" s="263"/>
      <c r="AB574" s="263"/>
      <c r="AC574" s="263"/>
      <c r="AD574" s="263"/>
      <c r="AE574" s="263"/>
      <c r="AF574" s="263"/>
      <c r="AG574" s="263"/>
      <c r="AH574" s="263"/>
      <c r="AI574" s="263"/>
      <c r="AJ574" s="263"/>
      <c r="AK574" s="263"/>
    </row>
    <row r="575">
      <c r="L575" s="262"/>
      <c r="Q575" s="262"/>
      <c r="R575" s="262"/>
      <c r="S575" s="262"/>
      <c r="T575" s="262"/>
      <c r="U575" s="262"/>
      <c r="V575" s="262"/>
      <c r="W575" s="263"/>
      <c r="X575" s="263"/>
      <c r="Y575" s="263"/>
      <c r="Z575" s="263"/>
      <c r="AA575" s="263"/>
      <c r="AB575" s="263"/>
      <c r="AC575" s="263"/>
      <c r="AD575" s="263"/>
      <c r="AE575" s="263"/>
      <c r="AF575" s="263"/>
      <c r="AG575" s="263"/>
      <c r="AH575" s="263"/>
      <c r="AI575" s="263"/>
      <c r="AJ575" s="263"/>
      <c r="AK575" s="263"/>
    </row>
    <row r="576">
      <c r="L576" s="262"/>
      <c r="Q576" s="262"/>
      <c r="R576" s="262"/>
      <c r="S576" s="262"/>
      <c r="T576" s="262"/>
      <c r="U576" s="262"/>
      <c r="V576" s="262"/>
      <c r="W576" s="263"/>
      <c r="X576" s="263"/>
      <c r="Y576" s="263"/>
      <c r="Z576" s="263"/>
      <c r="AA576" s="263"/>
      <c r="AB576" s="263"/>
      <c r="AC576" s="263"/>
      <c r="AD576" s="263"/>
      <c r="AE576" s="263"/>
      <c r="AF576" s="263"/>
      <c r="AG576" s="263"/>
      <c r="AH576" s="263"/>
      <c r="AI576" s="263"/>
      <c r="AJ576" s="263"/>
      <c r="AK576" s="263"/>
    </row>
    <row r="577">
      <c r="L577" s="262"/>
      <c r="Q577" s="262"/>
      <c r="R577" s="262"/>
      <c r="S577" s="262"/>
      <c r="T577" s="262"/>
      <c r="U577" s="262"/>
      <c r="V577" s="262"/>
      <c r="W577" s="263"/>
      <c r="X577" s="263"/>
      <c r="Y577" s="263"/>
      <c r="Z577" s="263"/>
      <c r="AA577" s="263"/>
      <c r="AB577" s="263"/>
      <c r="AC577" s="263"/>
      <c r="AD577" s="263"/>
      <c r="AE577" s="263"/>
      <c r="AF577" s="263"/>
      <c r="AG577" s="263"/>
      <c r="AH577" s="263"/>
      <c r="AI577" s="263"/>
      <c r="AJ577" s="263"/>
      <c r="AK577" s="263"/>
    </row>
    <row r="578">
      <c r="L578" s="262"/>
      <c r="Q578" s="262"/>
      <c r="R578" s="262"/>
      <c r="S578" s="262"/>
      <c r="T578" s="262"/>
      <c r="U578" s="262"/>
      <c r="V578" s="262"/>
      <c r="W578" s="263"/>
      <c r="X578" s="263"/>
      <c r="Y578" s="263"/>
      <c r="Z578" s="263"/>
      <c r="AA578" s="263"/>
      <c r="AB578" s="263"/>
      <c r="AC578" s="263"/>
      <c r="AD578" s="263"/>
      <c r="AE578" s="263"/>
      <c r="AF578" s="263"/>
      <c r="AG578" s="263"/>
      <c r="AH578" s="263"/>
      <c r="AI578" s="263"/>
      <c r="AJ578" s="263"/>
      <c r="AK578" s="263"/>
    </row>
    <row r="579">
      <c r="L579" s="262"/>
      <c r="Q579" s="262"/>
      <c r="R579" s="262"/>
      <c r="S579" s="262"/>
      <c r="T579" s="262"/>
      <c r="U579" s="262"/>
      <c r="V579" s="262"/>
      <c r="W579" s="263"/>
      <c r="X579" s="263"/>
      <c r="Y579" s="263"/>
      <c r="Z579" s="263"/>
      <c r="AA579" s="263"/>
      <c r="AB579" s="263"/>
      <c r="AC579" s="263"/>
      <c r="AD579" s="263"/>
      <c r="AE579" s="263"/>
      <c r="AF579" s="263"/>
      <c r="AG579" s="263"/>
      <c r="AH579" s="263"/>
      <c r="AI579" s="263"/>
      <c r="AJ579" s="263"/>
      <c r="AK579" s="263"/>
    </row>
    <row r="580">
      <c r="L580" s="262"/>
      <c r="Q580" s="262"/>
      <c r="R580" s="262"/>
      <c r="S580" s="262"/>
      <c r="T580" s="262"/>
      <c r="U580" s="262"/>
      <c r="V580" s="262"/>
      <c r="W580" s="263"/>
      <c r="X580" s="263"/>
      <c r="Y580" s="263"/>
      <c r="Z580" s="263"/>
      <c r="AA580" s="263"/>
      <c r="AB580" s="263"/>
      <c r="AC580" s="263"/>
      <c r="AD580" s="263"/>
      <c r="AE580" s="263"/>
      <c r="AF580" s="263"/>
      <c r="AG580" s="263"/>
      <c r="AH580" s="263"/>
      <c r="AI580" s="263"/>
      <c r="AJ580" s="263"/>
      <c r="AK580" s="263"/>
    </row>
    <row r="581">
      <c r="L581" s="262"/>
      <c r="Q581" s="262"/>
      <c r="R581" s="262"/>
      <c r="S581" s="262"/>
      <c r="T581" s="262"/>
      <c r="U581" s="262"/>
      <c r="V581" s="262"/>
      <c r="W581" s="263"/>
      <c r="X581" s="263"/>
      <c r="Y581" s="263"/>
      <c r="Z581" s="263"/>
      <c r="AA581" s="263"/>
      <c r="AB581" s="263"/>
      <c r="AC581" s="263"/>
      <c r="AD581" s="263"/>
      <c r="AE581" s="263"/>
      <c r="AF581" s="263"/>
      <c r="AG581" s="263"/>
      <c r="AH581" s="263"/>
      <c r="AI581" s="263"/>
      <c r="AJ581" s="263"/>
      <c r="AK581" s="263"/>
    </row>
    <row r="582">
      <c r="L582" s="262"/>
      <c r="Q582" s="262"/>
      <c r="R582" s="262"/>
      <c r="S582" s="262"/>
      <c r="T582" s="262"/>
      <c r="U582" s="262"/>
      <c r="V582" s="262"/>
      <c r="W582" s="263"/>
      <c r="X582" s="263"/>
      <c r="Y582" s="263"/>
      <c r="Z582" s="263"/>
      <c r="AA582" s="263"/>
      <c r="AB582" s="263"/>
      <c r="AC582" s="263"/>
      <c r="AD582" s="263"/>
      <c r="AE582" s="263"/>
      <c r="AF582" s="263"/>
      <c r="AG582" s="263"/>
      <c r="AH582" s="263"/>
      <c r="AI582" s="263"/>
      <c r="AJ582" s="263"/>
      <c r="AK582" s="263"/>
    </row>
    <row r="583">
      <c r="L583" s="262"/>
      <c r="Q583" s="262"/>
      <c r="R583" s="262"/>
      <c r="S583" s="262"/>
      <c r="T583" s="262"/>
      <c r="U583" s="262"/>
      <c r="V583" s="262"/>
      <c r="W583" s="263"/>
      <c r="X583" s="263"/>
      <c r="Y583" s="263"/>
      <c r="Z583" s="263"/>
      <c r="AA583" s="263"/>
      <c r="AB583" s="263"/>
      <c r="AC583" s="263"/>
      <c r="AD583" s="263"/>
      <c r="AE583" s="263"/>
      <c r="AF583" s="263"/>
      <c r="AG583" s="263"/>
      <c r="AH583" s="263"/>
      <c r="AI583" s="263"/>
      <c r="AJ583" s="263"/>
      <c r="AK583" s="263"/>
    </row>
    <row r="584">
      <c r="L584" s="262"/>
      <c r="Q584" s="262"/>
      <c r="R584" s="262"/>
      <c r="S584" s="262"/>
      <c r="T584" s="262"/>
      <c r="U584" s="262"/>
      <c r="V584" s="262"/>
      <c r="W584" s="263"/>
      <c r="X584" s="263"/>
      <c r="Y584" s="263"/>
      <c r="Z584" s="263"/>
      <c r="AA584" s="263"/>
      <c r="AB584" s="263"/>
      <c r="AC584" s="263"/>
      <c r="AD584" s="263"/>
      <c r="AE584" s="263"/>
      <c r="AF584" s="263"/>
      <c r="AG584" s="263"/>
      <c r="AH584" s="263"/>
      <c r="AI584" s="263"/>
      <c r="AJ584" s="263"/>
      <c r="AK584" s="263"/>
    </row>
    <row r="585">
      <c r="L585" s="262"/>
      <c r="Q585" s="262"/>
      <c r="R585" s="262"/>
      <c r="S585" s="262"/>
      <c r="T585" s="262"/>
      <c r="U585" s="262"/>
      <c r="V585" s="262"/>
      <c r="W585" s="263"/>
      <c r="X585" s="263"/>
      <c r="Y585" s="263"/>
      <c r="Z585" s="263"/>
      <c r="AA585" s="263"/>
      <c r="AB585" s="263"/>
      <c r="AC585" s="263"/>
      <c r="AD585" s="263"/>
      <c r="AE585" s="263"/>
      <c r="AF585" s="263"/>
      <c r="AG585" s="263"/>
      <c r="AH585" s="263"/>
      <c r="AI585" s="263"/>
      <c r="AJ585" s="263"/>
      <c r="AK585" s="263"/>
    </row>
    <row r="586">
      <c r="L586" s="262"/>
      <c r="Q586" s="262"/>
      <c r="R586" s="262"/>
      <c r="S586" s="262"/>
      <c r="T586" s="262"/>
      <c r="U586" s="262"/>
      <c r="V586" s="262"/>
      <c r="W586" s="263"/>
      <c r="X586" s="263"/>
      <c r="Y586" s="263"/>
      <c r="Z586" s="263"/>
      <c r="AA586" s="263"/>
      <c r="AB586" s="263"/>
      <c r="AC586" s="263"/>
      <c r="AD586" s="263"/>
      <c r="AE586" s="263"/>
      <c r="AF586" s="263"/>
      <c r="AG586" s="263"/>
      <c r="AH586" s="263"/>
      <c r="AI586" s="263"/>
      <c r="AJ586" s="263"/>
      <c r="AK586" s="263"/>
    </row>
    <row r="587">
      <c r="L587" s="262"/>
      <c r="Q587" s="262"/>
      <c r="R587" s="262"/>
      <c r="S587" s="262"/>
      <c r="T587" s="262"/>
      <c r="U587" s="262"/>
      <c r="V587" s="262"/>
      <c r="W587" s="263"/>
      <c r="X587" s="263"/>
      <c r="Y587" s="263"/>
      <c r="Z587" s="263"/>
      <c r="AA587" s="263"/>
      <c r="AB587" s="263"/>
      <c r="AC587" s="263"/>
      <c r="AD587" s="263"/>
      <c r="AE587" s="263"/>
      <c r="AF587" s="263"/>
      <c r="AG587" s="263"/>
      <c r="AH587" s="263"/>
      <c r="AI587" s="263"/>
      <c r="AJ587" s="263"/>
      <c r="AK587" s="263"/>
    </row>
    <row r="588">
      <c r="L588" s="262"/>
      <c r="Q588" s="262"/>
      <c r="R588" s="262"/>
      <c r="S588" s="262"/>
      <c r="T588" s="262"/>
      <c r="U588" s="262"/>
      <c r="V588" s="262"/>
      <c r="W588" s="263"/>
      <c r="X588" s="263"/>
      <c r="Y588" s="263"/>
      <c r="Z588" s="263"/>
      <c r="AA588" s="263"/>
      <c r="AB588" s="263"/>
      <c r="AC588" s="263"/>
      <c r="AD588" s="263"/>
      <c r="AE588" s="263"/>
      <c r="AF588" s="263"/>
      <c r="AG588" s="263"/>
      <c r="AH588" s="263"/>
      <c r="AI588" s="263"/>
      <c r="AJ588" s="263"/>
      <c r="AK588" s="263"/>
    </row>
    <row r="589">
      <c r="L589" s="262"/>
      <c r="Q589" s="262"/>
      <c r="R589" s="262"/>
      <c r="S589" s="262"/>
      <c r="T589" s="262"/>
      <c r="U589" s="262"/>
      <c r="V589" s="262"/>
      <c r="W589" s="263"/>
      <c r="X589" s="263"/>
      <c r="Y589" s="263"/>
      <c r="Z589" s="263"/>
      <c r="AA589" s="263"/>
      <c r="AB589" s="263"/>
      <c r="AC589" s="263"/>
      <c r="AD589" s="263"/>
      <c r="AE589" s="263"/>
      <c r="AF589" s="263"/>
      <c r="AG589" s="263"/>
      <c r="AH589" s="263"/>
      <c r="AI589" s="263"/>
      <c r="AJ589" s="263"/>
      <c r="AK589" s="263"/>
    </row>
    <row r="590">
      <c r="L590" s="262"/>
      <c r="Q590" s="262"/>
      <c r="R590" s="262"/>
      <c r="S590" s="262"/>
      <c r="T590" s="262"/>
      <c r="U590" s="262"/>
      <c r="V590" s="262"/>
      <c r="W590" s="263"/>
      <c r="X590" s="263"/>
      <c r="Y590" s="263"/>
      <c r="Z590" s="263"/>
      <c r="AA590" s="263"/>
      <c r="AB590" s="263"/>
      <c r="AC590" s="263"/>
      <c r="AD590" s="263"/>
      <c r="AE590" s="263"/>
      <c r="AF590" s="263"/>
      <c r="AG590" s="263"/>
      <c r="AH590" s="263"/>
      <c r="AI590" s="263"/>
      <c r="AJ590" s="263"/>
      <c r="AK590" s="263"/>
    </row>
    <row r="591">
      <c r="L591" s="262"/>
      <c r="Q591" s="262"/>
      <c r="R591" s="262"/>
      <c r="S591" s="262"/>
      <c r="T591" s="262"/>
      <c r="U591" s="262"/>
      <c r="V591" s="262"/>
      <c r="W591" s="263"/>
      <c r="X591" s="263"/>
      <c r="Y591" s="263"/>
      <c r="Z591" s="263"/>
      <c r="AA591" s="263"/>
      <c r="AB591" s="263"/>
      <c r="AC591" s="263"/>
      <c r="AD591" s="263"/>
      <c r="AE591" s="263"/>
      <c r="AF591" s="263"/>
      <c r="AG591" s="263"/>
      <c r="AH591" s="263"/>
      <c r="AI591" s="263"/>
      <c r="AJ591" s="263"/>
      <c r="AK591" s="263"/>
    </row>
    <row r="592">
      <c r="L592" s="262"/>
      <c r="Q592" s="262"/>
      <c r="R592" s="262"/>
      <c r="S592" s="262"/>
      <c r="T592" s="262"/>
      <c r="U592" s="262"/>
      <c r="V592" s="262"/>
      <c r="W592" s="263"/>
      <c r="X592" s="263"/>
      <c r="Y592" s="263"/>
      <c r="Z592" s="263"/>
      <c r="AA592" s="263"/>
      <c r="AB592" s="263"/>
      <c r="AC592" s="263"/>
      <c r="AD592" s="263"/>
      <c r="AE592" s="263"/>
      <c r="AF592" s="263"/>
      <c r="AG592" s="263"/>
      <c r="AH592" s="263"/>
      <c r="AI592" s="263"/>
      <c r="AJ592" s="263"/>
      <c r="AK592" s="263"/>
    </row>
    <row r="593">
      <c r="L593" s="262"/>
      <c r="Q593" s="262"/>
      <c r="R593" s="262"/>
      <c r="S593" s="262"/>
      <c r="T593" s="262"/>
      <c r="U593" s="262"/>
      <c r="V593" s="262"/>
      <c r="W593" s="263"/>
      <c r="X593" s="263"/>
      <c r="Y593" s="263"/>
      <c r="Z593" s="263"/>
      <c r="AA593" s="263"/>
      <c r="AB593" s="263"/>
      <c r="AC593" s="263"/>
      <c r="AD593" s="263"/>
      <c r="AE593" s="263"/>
      <c r="AF593" s="263"/>
      <c r="AG593" s="263"/>
      <c r="AH593" s="263"/>
      <c r="AI593" s="263"/>
      <c r="AJ593" s="263"/>
      <c r="AK593" s="263"/>
    </row>
    <row r="594">
      <c r="L594" s="262"/>
      <c r="Q594" s="262"/>
      <c r="R594" s="262"/>
      <c r="S594" s="262"/>
      <c r="T594" s="262"/>
      <c r="U594" s="262"/>
      <c r="V594" s="262"/>
      <c r="W594" s="263"/>
      <c r="X594" s="263"/>
      <c r="Y594" s="263"/>
      <c r="Z594" s="263"/>
      <c r="AA594" s="263"/>
      <c r="AB594" s="263"/>
      <c r="AC594" s="263"/>
      <c r="AD594" s="263"/>
      <c r="AE594" s="263"/>
      <c r="AF594" s="263"/>
      <c r="AG594" s="263"/>
      <c r="AH594" s="263"/>
      <c r="AI594" s="263"/>
      <c r="AJ594" s="263"/>
      <c r="AK594" s="263"/>
    </row>
    <row r="595">
      <c r="L595" s="262"/>
      <c r="Q595" s="262"/>
      <c r="R595" s="262"/>
      <c r="S595" s="262"/>
      <c r="T595" s="262"/>
      <c r="U595" s="262"/>
      <c r="V595" s="262"/>
      <c r="W595" s="263"/>
      <c r="X595" s="263"/>
      <c r="Y595" s="263"/>
      <c r="Z595" s="263"/>
      <c r="AA595" s="263"/>
      <c r="AB595" s="263"/>
      <c r="AC595" s="263"/>
      <c r="AD595" s="263"/>
      <c r="AE595" s="263"/>
      <c r="AF595" s="263"/>
      <c r="AG595" s="263"/>
      <c r="AH595" s="263"/>
      <c r="AI595" s="263"/>
      <c r="AJ595" s="263"/>
      <c r="AK595" s="263"/>
    </row>
    <row r="596">
      <c r="L596" s="262"/>
      <c r="Q596" s="262"/>
      <c r="R596" s="262"/>
      <c r="S596" s="262"/>
      <c r="T596" s="262"/>
      <c r="U596" s="262"/>
      <c r="V596" s="262"/>
      <c r="W596" s="263"/>
      <c r="X596" s="263"/>
      <c r="Y596" s="263"/>
      <c r="Z596" s="263"/>
      <c r="AA596" s="263"/>
      <c r="AB596" s="263"/>
      <c r="AC596" s="263"/>
      <c r="AD596" s="263"/>
      <c r="AE596" s="263"/>
      <c r="AF596" s="263"/>
      <c r="AG596" s="263"/>
      <c r="AH596" s="263"/>
      <c r="AI596" s="263"/>
      <c r="AJ596" s="263"/>
      <c r="AK596" s="263"/>
    </row>
    <row r="597">
      <c r="L597" s="262"/>
      <c r="Q597" s="262"/>
      <c r="R597" s="262"/>
      <c r="S597" s="262"/>
      <c r="T597" s="262"/>
      <c r="U597" s="262"/>
      <c r="V597" s="262"/>
      <c r="W597" s="263"/>
      <c r="X597" s="263"/>
      <c r="Y597" s="263"/>
      <c r="Z597" s="263"/>
      <c r="AA597" s="263"/>
      <c r="AB597" s="263"/>
      <c r="AC597" s="263"/>
      <c r="AD597" s="263"/>
      <c r="AE597" s="263"/>
      <c r="AF597" s="263"/>
      <c r="AG597" s="263"/>
      <c r="AH597" s="263"/>
      <c r="AI597" s="263"/>
      <c r="AJ597" s="263"/>
      <c r="AK597" s="263"/>
    </row>
    <row r="598">
      <c r="L598" s="262"/>
      <c r="Q598" s="262"/>
      <c r="R598" s="262"/>
      <c r="S598" s="262"/>
      <c r="T598" s="262"/>
      <c r="U598" s="262"/>
      <c r="V598" s="262"/>
      <c r="W598" s="263"/>
      <c r="X598" s="263"/>
      <c r="Y598" s="263"/>
      <c r="Z598" s="263"/>
      <c r="AA598" s="263"/>
      <c r="AB598" s="263"/>
      <c r="AC598" s="263"/>
      <c r="AD598" s="263"/>
      <c r="AE598" s="263"/>
      <c r="AF598" s="263"/>
      <c r="AG598" s="263"/>
      <c r="AH598" s="263"/>
      <c r="AI598" s="263"/>
      <c r="AJ598" s="263"/>
      <c r="AK598" s="263"/>
    </row>
    <row r="599">
      <c r="L599" s="262"/>
      <c r="Q599" s="262"/>
      <c r="R599" s="262"/>
      <c r="S599" s="262"/>
      <c r="T599" s="262"/>
      <c r="U599" s="262"/>
      <c r="V599" s="262"/>
      <c r="W599" s="263"/>
      <c r="X599" s="263"/>
      <c r="Y599" s="263"/>
      <c r="Z599" s="263"/>
      <c r="AA599" s="263"/>
      <c r="AB599" s="263"/>
      <c r="AC599" s="263"/>
      <c r="AD599" s="263"/>
      <c r="AE599" s="263"/>
      <c r="AF599" s="263"/>
      <c r="AG599" s="263"/>
      <c r="AH599" s="263"/>
      <c r="AI599" s="263"/>
      <c r="AJ599" s="263"/>
      <c r="AK599" s="263"/>
    </row>
    <row r="600">
      <c r="L600" s="262"/>
      <c r="Q600" s="262"/>
      <c r="R600" s="262"/>
      <c r="S600" s="262"/>
      <c r="T600" s="262"/>
      <c r="U600" s="262"/>
      <c r="V600" s="262"/>
      <c r="W600" s="263"/>
      <c r="X600" s="263"/>
      <c r="Y600" s="263"/>
      <c r="Z600" s="263"/>
      <c r="AA600" s="263"/>
      <c r="AB600" s="263"/>
      <c r="AC600" s="263"/>
      <c r="AD600" s="263"/>
      <c r="AE600" s="263"/>
      <c r="AF600" s="263"/>
      <c r="AG600" s="263"/>
      <c r="AH600" s="263"/>
      <c r="AI600" s="263"/>
      <c r="AJ600" s="263"/>
      <c r="AK600" s="263"/>
    </row>
    <row r="601">
      <c r="L601" s="262"/>
      <c r="Q601" s="262"/>
      <c r="R601" s="262"/>
      <c r="S601" s="262"/>
      <c r="T601" s="262"/>
      <c r="U601" s="262"/>
      <c r="V601" s="262"/>
      <c r="W601" s="263"/>
      <c r="X601" s="263"/>
      <c r="Y601" s="263"/>
      <c r="Z601" s="263"/>
      <c r="AA601" s="263"/>
      <c r="AB601" s="263"/>
      <c r="AC601" s="263"/>
      <c r="AD601" s="263"/>
      <c r="AE601" s="263"/>
      <c r="AF601" s="263"/>
      <c r="AG601" s="263"/>
      <c r="AH601" s="263"/>
      <c r="AI601" s="263"/>
      <c r="AJ601" s="263"/>
      <c r="AK601" s="263"/>
    </row>
    <row r="602">
      <c r="L602" s="262"/>
      <c r="Q602" s="262"/>
      <c r="R602" s="262"/>
      <c r="S602" s="262"/>
      <c r="T602" s="262"/>
      <c r="U602" s="262"/>
      <c r="V602" s="262"/>
      <c r="W602" s="263"/>
      <c r="X602" s="263"/>
      <c r="Y602" s="263"/>
      <c r="Z602" s="263"/>
      <c r="AA602" s="263"/>
      <c r="AB602" s="263"/>
      <c r="AC602" s="263"/>
      <c r="AD602" s="263"/>
      <c r="AE602" s="263"/>
      <c r="AF602" s="263"/>
      <c r="AG602" s="263"/>
      <c r="AH602" s="263"/>
      <c r="AI602" s="263"/>
      <c r="AJ602" s="263"/>
      <c r="AK602" s="263"/>
    </row>
    <row r="603">
      <c r="L603" s="262"/>
      <c r="Q603" s="262"/>
      <c r="R603" s="262"/>
      <c r="S603" s="262"/>
      <c r="T603" s="262"/>
      <c r="U603" s="262"/>
      <c r="V603" s="262"/>
      <c r="W603" s="263"/>
      <c r="X603" s="263"/>
      <c r="Y603" s="263"/>
      <c r="Z603" s="263"/>
      <c r="AA603" s="263"/>
      <c r="AB603" s="263"/>
      <c r="AC603" s="263"/>
      <c r="AD603" s="263"/>
      <c r="AE603" s="263"/>
      <c r="AF603" s="263"/>
      <c r="AG603" s="263"/>
      <c r="AH603" s="263"/>
      <c r="AI603" s="263"/>
      <c r="AJ603" s="263"/>
      <c r="AK603" s="263"/>
    </row>
    <row r="604">
      <c r="L604" s="262"/>
      <c r="Q604" s="262"/>
      <c r="R604" s="262"/>
      <c r="S604" s="262"/>
      <c r="T604" s="262"/>
      <c r="U604" s="262"/>
      <c r="V604" s="262"/>
      <c r="W604" s="263"/>
      <c r="X604" s="263"/>
      <c r="Y604" s="263"/>
      <c r="Z604" s="263"/>
      <c r="AA604" s="263"/>
      <c r="AB604" s="263"/>
      <c r="AC604" s="263"/>
      <c r="AD604" s="263"/>
      <c r="AE604" s="263"/>
      <c r="AF604" s="263"/>
      <c r="AG604" s="263"/>
      <c r="AH604" s="263"/>
      <c r="AI604" s="263"/>
      <c r="AJ604" s="263"/>
      <c r="AK604" s="263"/>
    </row>
    <row r="605">
      <c r="L605" s="262"/>
      <c r="Q605" s="262"/>
      <c r="R605" s="262"/>
      <c r="S605" s="262"/>
      <c r="T605" s="262"/>
      <c r="U605" s="262"/>
      <c r="V605" s="262"/>
      <c r="W605" s="263"/>
      <c r="X605" s="263"/>
      <c r="Y605" s="263"/>
      <c r="Z605" s="263"/>
      <c r="AA605" s="263"/>
      <c r="AB605" s="263"/>
      <c r="AC605" s="263"/>
      <c r="AD605" s="263"/>
      <c r="AE605" s="263"/>
      <c r="AF605" s="263"/>
      <c r="AG605" s="263"/>
      <c r="AH605" s="263"/>
      <c r="AI605" s="263"/>
      <c r="AJ605" s="263"/>
      <c r="AK605" s="263"/>
    </row>
    <row r="606">
      <c r="L606" s="262"/>
      <c r="Q606" s="262"/>
      <c r="R606" s="262"/>
      <c r="S606" s="262"/>
      <c r="T606" s="262"/>
      <c r="U606" s="262"/>
      <c r="V606" s="262"/>
      <c r="W606" s="263"/>
      <c r="X606" s="263"/>
      <c r="Y606" s="263"/>
      <c r="Z606" s="263"/>
      <c r="AA606" s="263"/>
      <c r="AB606" s="263"/>
      <c r="AC606" s="263"/>
      <c r="AD606" s="263"/>
      <c r="AE606" s="263"/>
      <c r="AF606" s="263"/>
      <c r="AG606" s="263"/>
      <c r="AH606" s="263"/>
      <c r="AI606" s="263"/>
      <c r="AJ606" s="263"/>
      <c r="AK606" s="263"/>
    </row>
    <row r="607">
      <c r="L607" s="262"/>
      <c r="Q607" s="262"/>
      <c r="R607" s="262"/>
      <c r="S607" s="262"/>
      <c r="T607" s="262"/>
      <c r="U607" s="262"/>
      <c r="V607" s="262"/>
      <c r="W607" s="263"/>
      <c r="X607" s="263"/>
      <c r="Y607" s="263"/>
      <c r="Z607" s="263"/>
      <c r="AA607" s="263"/>
      <c r="AB607" s="263"/>
      <c r="AC607" s="263"/>
      <c r="AD607" s="263"/>
      <c r="AE607" s="263"/>
      <c r="AF607" s="263"/>
      <c r="AG607" s="263"/>
      <c r="AH607" s="263"/>
      <c r="AI607" s="263"/>
      <c r="AJ607" s="263"/>
      <c r="AK607" s="263"/>
    </row>
    <row r="608">
      <c r="L608" s="262"/>
      <c r="Q608" s="262"/>
      <c r="R608" s="262"/>
      <c r="S608" s="262"/>
      <c r="T608" s="262"/>
      <c r="U608" s="262"/>
      <c r="V608" s="262"/>
      <c r="W608" s="263"/>
      <c r="X608" s="263"/>
      <c r="Y608" s="263"/>
      <c r="Z608" s="263"/>
      <c r="AA608" s="263"/>
      <c r="AB608" s="263"/>
      <c r="AC608" s="263"/>
      <c r="AD608" s="263"/>
      <c r="AE608" s="263"/>
      <c r="AF608" s="263"/>
      <c r="AG608" s="263"/>
      <c r="AH608" s="263"/>
      <c r="AI608" s="263"/>
      <c r="AJ608" s="263"/>
      <c r="AK608" s="263"/>
    </row>
    <row r="609">
      <c r="L609" s="262"/>
      <c r="Q609" s="262"/>
      <c r="R609" s="262"/>
      <c r="S609" s="262"/>
      <c r="T609" s="262"/>
      <c r="U609" s="262"/>
      <c r="V609" s="262"/>
      <c r="W609" s="263"/>
      <c r="X609" s="263"/>
      <c r="Y609" s="263"/>
      <c r="Z609" s="263"/>
      <c r="AA609" s="263"/>
      <c r="AB609" s="263"/>
      <c r="AC609" s="263"/>
      <c r="AD609" s="263"/>
      <c r="AE609" s="263"/>
      <c r="AF609" s="263"/>
      <c r="AG609" s="263"/>
      <c r="AH609" s="263"/>
      <c r="AI609" s="263"/>
      <c r="AJ609" s="263"/>
      <c r="AK609" s="263"/>
    </row>
    <row r="610">
      <c r="L610" s="262"/>
      <c r="Q610" s="262"/>
      <c r="R610" s="262"/>
      <c r="S610" s="262"/>
      <c r="T610" s="262"/>
      <c r="U610" s="262"/>
      <c r="V610" s="262"/>
      <c r="W610" s="263"/>
      <c r="X610" s="263"/>
      <c r="Y610" s="263"/>
      <c r="Z610" s="263"/>
      <c r="AA610" s="263"/>
      <c r="AB610" s="263"/>
      <c r="AC610" s="263"/>
      <c r="AD610" s="263"/>
      <c r="AE610" s="263"/>
      <c r="AF610" s="263"/>
      <c r="AG610" s="263"/>
      <c r="AH610" s="263"/>
      <c r="AI610" s="263"/>
      <c r="AJ610" s="263"/>
      <c r="AK610" s="263"/>
    </row>
    <row r="611">
      <c r="L611" s="262"/>
      <c r="Q611" s="262"/>
      <c r="R611" s="262"/>
      <c r="S611" s="262"/>
      <c r="T611" s="262"/>
      <c r="U611" s="262"/>
      <c r="V611" s="262"/>
      <c r="W611" s="263"/>
      <c r="X611" s="263"/>
      <c r="Y611" s="263"/>
      <c r="Z611" s="263"/>
      <c r="AA611" s="263"/>
      <c r="AB611" s="263"/>
      <c r="AC611" s="263"/>
      <c r="AD611" s="263"/>
      <c r="AE611" s="263"/>
      <c r="AF611" s="263"/>
      <c r="AG611" s="263"/>
      <c r="AH611" s="263"/>
      <c r="AI611" s="263"/>
      <c r="AJ611" s="263"/>
      <c r="AK611" s="263"/>
    </row>
    <row r="612">
      <c r="L612" s="262"/>
      <c r="Q612" s="262"/>
      <c r="R612" s="262"/>
      <c r="S612" s="262"/>
      <c r="T612" s="262"/>
      <c r="U612" s="262"/>
      <c r="V612" s="262"/>
      <c r="W612" s="263"/>
      <c r="X612" s="263"/>
      <c r="Y612" s="263"/>
      <c r="Z612" s="263"/>
      <c r="AA612" s="263"/>
      <c r="AB612" s="263"/>
      <c r="AC612" s="263"/>
      <c r="AD612" s="263"/>
      <c r="AE612" s="263"/>
      <c r="AF612" s="263"/>
      <c r="AG612" s="263"/>
      <c r="AH612" s="263"/>
      <c r="AI612" s="263"/>
      <c r="AJ612" s="263"/>
      <c r="AK612" s="263"/>
    </row>
    <row r="613">
      <c r="L613" s="262"/>
      <c r="Q613" s="262"/>
      <c r="R613" s="262"/>
      <c r="S613" s="262"/>
      <c r="T613" s="262"/>
      <c r="U613" s="262"/>
      <c r="V613" s="262"/>
      <c r="W613" s="263"/>
      <c r="X613" s="263"/>
      <c r="Y613" s="263"/>
      <c r="Z613" s="263"/>
      <c r="AA613" s="263"/>
      <c r="AB613" s="263"/>
      <c r="AC613" s="263"/>
      <c r="AD613" s="263"/>
      <c r="AE613" s="263"/>
      <c r="AF613" s="263"/>
      <c r="AG613" s="263"/>
      <c r="AH613" s="263"/>
      <c r="AI613" s="263"/>
      <c r="AJ613" s="263"/>
      <c r="AK613" s="263"/>
    </row>
    <row r="614">
      <c r="L614" s="262"/>
      <c r="Q614" s="262"/>
      <c r="R614" s="262"/>
      <c r="S614" s="262"/>
      <c r="T614" s="262"/>
      <c r="U614" s="262"/>
      <c r="V614" s="262"/>
      <c r="W614" s="263"/>
      <c r="X614" s="263"/>
      <c r="Y614" s="263"/>
      <c r="Z614" s="263"/>
      <c r="AA614" s="263"/>
      <c r="AB614" s="263"/>
      <c r="AC614" s="263"/>
      <c r="AD614" s="263"/>
      <c r="AE614" s="263"/>
      <c r="AF614" s="263"/>
      <c r="AG614" s="263"/>
      <c r="AH614" s="263"/>
      <c r="AI614" s="263"/>
      <c r="AJ614" s="263"/>
      <c r="AK614" s="263"/>
    </row>
    <row r="615">
      <c r="L615" s="262"/>
      <c r="Q615" s="262"/>
      <c r="R615" s="262"/>
      <c r="S615" s="262"/>
      <c r="T615" s="262"/>
      <c r="U615" s="262"/>
      <c r="V615" s="262"/>
      <c r="W615" s="263"/>
      <c r="X615" s="263"/>
      <c r="Y615" s="263"/>
      <c r="Z615" s="263"/>
      <c r="AA615" s="263"/>
      <c r="AB615" s="263"/>
      <c r="AC615" s="263"/>
      <c r="AD615" s="263"/>
      <c r="AE615" s="263"/>
      <c r="AF615" s="263"/>
      <c r="AG615" s="263"/>
      <c r="AH615" s="263"/>
      <c r="AI615" s="263"/>
      <c r="AJ615" s="263"/>
      <c r="AK615" s="263"/>
    </row>
    <row r="616">
      <c r="L616" s="262"/>
      <c r="Q616" s="262"/>
      <c r="R616" s="262"/>
      <c r="S616" s="262"/>
      <c r="T616" s="262"/>
      <c r="U616" s="262"/>
      <c r="V616" s="262"/>
      <c r="W616" s="263"/>
      <c r="X616" s="263"/>
      <c r="Y616" s="263"/>
      <c r="Z616" s="263"/>
      <c r="AA616" s="263"/>
      <c r="AB616" s="263"/>
      <c r="AC616" s="263"/>
      <c r="AD616" s="263"/>
      <c r="AE616" s="263"/>
      <c r="AF616" s="263"/>
      <c r="AG616" s="263"/>
      <c r="AH616" s="263"/>
      <c r="AI616" s="263"/>
      <c r="AJ616" s="263"/>
      <c r="AK616" s="263"/>
    </row>
    <row r="617">
      <c r="L617" s="262"/>
      <c r="Q617" s="262"/>
      <c r="R617" s="262"/>
      <c r="S617" s="262"/>
      <c r="T617" s="262"/>
      <c r="U617" s="262"/>
      <c r="V617" s="262"/>
      <c r="W617" s="263"/>
      <c r="X617" s="263"/>
      <c r="Y617" s="263"/>
      <c r="Z617" s="263"/>
      <c r="AA617" s="263"/>
      <c r="AB617" s="263"/>
      <c r="AC617" s="263"/>
      <c r="AD617" s="263"/>
      <c r="AE617" s="263"/>
      <c r="AF617" s="263"/>
      <c r="AG617" s="263"/>
      <c r="AH617" s="263"/>
      <c r="AI617" s="263"/>
      <c r="AJ617" s="263"/>
      <c r="AK617" s="263"/>
    </row>
    <row r="618">
      <c r="L618" s="262"/>
      <c r="Q618" s="262"/>
      <c r="R618" s="262"/>
      <c r="S618" s="262"/>
      <c r="T618" s="262"/>
      <c r="U618" s="262"/>
      <c r="V618" s="262"/>
      <c r="W618" s="263"/>
      <c r="X618" s="263"/>
      <c r="Y618" s="263"/>
      <c r="Z618" s="263"/>
      <c r="AA618" s="263"/>
      <c r="AB618" s="263"/>
      <c r="AC618" s="263"/>
      <c r="AD618" s="263"/>
      <c r="AE618" s="263"/>
      <c r="AF618" s="263"/>
      <c r="AG618" s="263"/>
      <c r="AH618" s="263"/>
      <c r="AI618" s="263"/>
      <c r="AJ618" s="263"/>
      <c r="AK618" s="263"/>
    </row>
    <row r="619">
      <c r="L619" s="262"/>
      <c r="Q619" s="262"/>
      <c r="R619" s="262"/>
      <c r="S619" s="262"/>
      <c r="T619" s="262"/>
      <c r="U619" s="262"/>
      <c r="V619" s="262"/>
      <c r="W619" s="263"/>
      <c r="X619" s="263"/>
      <c r="Y619" s="263"/>
      <c r="Z619" s="263"/>
      <c r="AA619" s="263"/>
      <c r="AB619" s="263"/>
      <c r="AC619" s="263"/>
      <c r="AD619" s="263"/>
      <c r="AE619" s="263"/>
      <c r="AF619" s="263"/>
      <c r="AG619" s="263"/>
      <c r="AH619" s="263"/>
      <c r="AI619" s="263"/>
      <c r="AJ619" s="263"/>
      <c r="AK619" s="263"/>
    </row>
    <row r="620">
      <c r="L620" s="262"/>
      <c r="Q620" s="262"/>
      <c r="R620" s="262"/>
      <c r="S620" s="262"/>
      <c r="T620" s="262"/>
      <c r="U620" s="262"/>
      <c r="V620" s="262"/>
      <c r="W620" s="263"/>
      <c r="X620" s="263"/>
      <c r="Y620" s="263"/>
      <c r="Z620" s="263"/>
      <c r="AA620" s="263"/>
      <c r="AB620" s="263"/>
      <c r="AC620" s="263"/>
      <c r="AD620" s="263"/>
      <c r="AE620" s="263"/>
      <c r="AF620" s="263"/>
      <c r="AG620" s="263"/>
      <c r="AH620" s="263"/>
      <c r="AI620" s="263"/>
      <c r="AJ620" s="263"/>
      <c r="AK620" s="263"/>
    </row>
    <row r="621">
      <c r="L621" s="262"/>
      <c r="Q621" s="262"/>
      <c r="R621" s="262"/>
      <c r="S621" s="262"/>
      <c r="T621" s="262"/>
      <c r="U621" s="262"/>
      <c r="V621" s="262"/>
      <c r="W621" s="263"/>
      <c r="X621" s="263"/>
      <c r="Y621" s="263"/>
      <c r="Z621" s="263"/>
      <c r="AA621" s="263"/>
      <c r="AB621" s="263"/>
      <c r="AC621" s="263"/>
      <c r="AD621" s="263"/>
      <c r="AE621" s="263"/>
      <c r="AF621" s="263"/>
      <c r="AG621" s="263"/>
      <c r="AH621" s="263"/>
      <c r="AI621" s="263"/>
      <c r="AJ621" s="263"/>
      <c r="AK621" s="263"/>
    </row>
    <row r="622">
      <c r="L622" s="262"/>
      <c r="Q622" s="262"/>
      <c r="R622" s="262"/>
      <c r="S622" s="262"/>
      <c r="T622" s="262"/>
      <c r="U622" s="262"/>
      <c r="V622" s="262"/>
      <c r="W622" s="263"/>
      <c r="X622" s="263"/>
      <c r="Y622" s="263"/>
      <c r="Z622" s="263"/>
      <c r="AA622" s="263"/>
      <c r="AB622" s="263"/>
      <c r="AC622" s="263"/>
      <c r="AD622" s="263"/>
      <c r="AE622" s="263"/>
      <c r="AF622" s="263"/>
      <c r="AG622" s="263"/>
      <c r="AH622" s="263"/>
      <c r="AI622" s="263"/>
      <c r="AJ622" s="263"/>
      <c r="AK622" s="263"/>
    </row>
    <row r="623">
      <c r="L623" s="262"/>
      <c r="Q623" s="262"/>
      <c r="R623" s="262"/>
      <c r="S623" s="262"/>
      <c r="T623" s="262"/>
      <c r="U623" s="262"/>
      <c r="V623" s="262"/>
      <c r="W623" s="263"/>
      <c r="X623" s="263"/>
      <c r="Y623" s="263"/>
      <c r="Z623" s="263"/>
      <c r="AA623" s="263"/>
      <c r="AB623" s="263"/>
      <c r="AC623" s="263"/>
      <c r="AD623" s="263"/>
      <c r="AE623" s="263"/>
      <c r="AF623" s="263"/>
      <c r="AG623" s="263"/>
      <c r="AH623" s="263"/>
      <c r="AI623" s="263"/>
      <c r="AJ623" s="263"/>
      <c r="AK623" s="263"/>
    </row>
    <row r="624">
      <c r="L624" s="262"/>
      <c r="Q624" s="262"/>
      <c r="R624" s="262"/>
      <c r="S624" s="262"/>
      <c r="T624" s="262"/>
      <c r="U624" s="262"/>
      <c r="V624" s="262"/>
      <c r="W624" s="263"/>
      <c r="X624" s="263"/>
      <c r="Y624" s="263"/>
      <c r="Z624" s="263"/>
      <c r="AA624" s="263"/>
      <c r="AB624" s="263"/>
      <c r="AC624" s="263"/>
      <c r="AD624" s="263"/>
      <c r="AE624" s="263"/>
      <c r="AF624" s="263"/>
      <c r="AG624" s="263"/>
      <c r="AH624" s="263"/>
      <c r="AI624" s="263"/>
      <c r="AJ624" s="263"/>
      <c r="AK624" s="263"/>
    </row>
    <row r="625">
      <c r="L625" s="262"/>
      <c r="Q625" s="262"/>
      <c r="R625" s="262"/>
      <c r="S625" s="262"/>
      <c r="T625" s="262"/>
      <c r="U625" s="262"/>
      <c r="V625" s="262"/>
      <c r="W625" s="263"/>
      <c r="X625" s="263"/>
      <c r="Y625" s="263"/>
      <c r="Z625" s="263"/>
      <c r="AA625" s="263"/>
      <c r="AB625" s="263"/>
      <c r="AC625" s="263"/>
      <c r="AD625" s="263"/>
      <c r="AE625" s="263"/>
      <c r="AF625" s="263"/>
      <c r="AG625" s="263"/>
      <c r="AH625" s="263"/>
      <c r="AI625" s="263"/>
      <c r="AJ625" s="263"/>
      <c r="AK625" s="263"/>
    </row>
    <row r="626">
      <c r="L626" s="262"/>
      <c r="Q626" s="262"/>
      <c r="R626" s="262"/>
      <c r="S626" s="262"/>
      <c r="T626" s="262"/>
      <c r="U626" s="262"/>
      <c r="V626" s="262"/>
      <c r="W626" s="263"/>
      <c r="X626" s="263"/>
      <c r="Y626" s="263"/>
      <c r="Z626" s="263"/>
      <c r="AA626" s="263"/>
      <c r="AB626" s="263"/>
      <c r="AC626" s="263"/>
      <c r="AD626" s="263"/>
      <c r="AE626" s="263"/>
      <c r="AF626" s="263"/>
      <c r="AG626" s="263"/>
      <c r="AH626" s="263"/>
      <c r="AI626" s="263"/>
      <c r="AJ626" s="263"/>
      <c r="AK626" s="263"/>
    </row>
    <row r="627">
      <c r="L627" s="262"/>
      <c r="Q627" s="262"/>
      <c r="R627" s="262"/>
      <c r="S627" s="262"/>
      <c r="T627" s="262"/>
      <c r="U627" s="262"/>
      <c r="V627" s="262"/>
      <c r="W627" s="263"/>
      <c r="X627" s="263"/>
      <c r="Y627" s="263"/>
      <c r="Z627" s="263"/>
      <c r="AA627" s="263"/>
      <c r="AB627" s="263"/>
      <c r="AC627" s="263"/>
      <c r="AD627" s="263"/>
      <c r="AE627" s="263"/>
      <c r="AF627" s="263"/>
      <c r="AG627" s="263"/>
      <c r="AH627" s="263"/>
      <c r="AI627" s="263"/>
      <c r="AJ627" s="263"/>
      <c r="AK627" s="263"/>
    </row>
    <row r="628">
      <c r="L628" s="262"/>
      <c r="Q628" s="262"/>
      <c r="R628" s="262"/>
      <c r="S628" s="262"/>
      <c r="T628" s="262"/>
      <c r="U628" s="262"/>
      <c r="V628" s="262"/>
      <c r="W628" s="263"/>
      <c r="X628" s="263"/>
      <c r="Y628" s="263"/>
      <c r="Z628" s="263"/>
      <c r="AA628" s="263"/>
      <c r="AB628" s="263"/>
      <c r="AC628" s="263"/>
      <c r="AD628" s="263"/>
      <c r="AE628" s="263"/>
      <c r="AF628" s="263"/>
      <c r="AG628" s="263"/>
      <c r="AH628" s="263"/>
      <c r="AI628" s="263"/>
      <c r="AJ628" s="263"/>
      <c r="AK628" s="263"/>
    </row>
    <row r="629">
      <c r="L629" s="262"/>
      <c r="Q629" s="262"/>
      <c r="R629" s="262"/>
      <c r="S629" s="262"/>
      <c r="T629" s="262"/>
      <c r="U629" s="262"/>
      <c r="V629" s="262"/>
      <c r="W629" s="263"/>
      <c r="X629" s="263"/>
      <c r="Y629" s="263"/>
      <c r="Z629" s="263"/>
      <c r="AA629" s="263"/>
      <c r="AB629" s="263"/>
      <c r="AC629" s="263"/>
      <c r="AD629" s="263"/>
      <c r="AE629" s="263"/>
      <c r="AF629" s="263"/>
      <c r="AG629" s="263"/>
      <c r="AH629" s="263"/>
      <c r="AI629" s="263"/>
      <c r="AJ629" s="263"/>
      <c r="AK629" s="263"/>
    </row>
    <row r="630">
      <c r="L630" s="262"/>
      <c r="Q630" s="262"/>
      <c r="R630" s="262"/>
      <c r="S630" s="262"/>
      <c r="T630" s="262"/>
      <c r="U630" s="262"/>
      <c r="V630" s="262"/>
      <c r="W630" s="263"/>
      <c r="X630" s="263"/>
      <c r="Y630" s="263"/>
      <c r="Z630" s="263"/>
      <c r="AA630" s="263"/>
      <c r="AB630" s="263"/>
      <c r="AC630" s="263"/>
      <c r="AD630" s="263"/>
      <c r="AE630" s="263"/>
      <c r="AF630" s="263"/>
      <c r="AG630" s="263"/>
      <c r="AH630" s="263"/>
      <c r="AI630" s="263"/>
      <c r="AJ630" s="263"/>
      <c r="AK630" s="263"/>
    </row>
    <row r="631">
      <c r="L631" s="262"/>
      <c r="Q631" s="262"/>
      <c r="R631" s="262"/>
      <c r="S631" s="262"/>
      <c r="T631" s="262"/>
      <c r="U631" s="262"/>
      <c r="V631" s="262"/>
      <c r="W631" s="263"/>
      <c r="X631" s="263"/>
      <c r="Y631" s="263"/>
      <c r="Z631" s="263"/>
      <c r="AA631" s="263"/>
      <c r="AB631" s="263"/>
      <c r="AC631" s="263"/>
      <c r="AD631" s="263"/>
      <c r="AE631" s="263"/>
      <c r="AF631" s="263"/>
      <c r="AG631" s="263"/>
      <c r="AH631" s="263"/>
      <c r="AI631" s="263"/>
      <c r="AJ631" s="263"/>
      <c r="AK631" s="263"/>
    </row>
    <row r="632">
      <c r="L632" s="262"/>
      <c r="Q632" s="262"/>
      <c r="R632" s="262"/>
      <c r="S632" s="262"/>
      <c r="T632" s="262"/>
      <c r="U632" s="262"/>
      <c r="V632" s="262"/>
      <c r="W632" s="263"/>
      <c r="X632" s="263"/>
      <c r="Y632" s="263"/>
      <c r="Z632" s="263"/>
      <c r="AA632" s="263"/>
      <c r="AB632" s="263"/>
      <c r="AC632" s="263"/>
      <c r="AD632" s="263"/>
      <c r="AE632" s="263"/>
      <c r="AF632" s="263"/>
      <c r="AG632" s="263"/>
      <c r="AH632" s="263"/>
      <c r="AI632" s="263"/>
      <c r="AJ632" s="263"/>
      <c r="AK632" s="263"/>
    </row>
    <row r="633">
      <c r="L633" s="262"/>
      <c r="Q633" s="262"/>
      <c r="R633" s="262"/>
      <c r="S633" s="262"/>
      <c r="T633" s="262"/>
      <c r="U633" s="262"/>
      <c r="V633" s="262"/>
      <c r="W633" s="263"/>
      <c r="X633" s="263"/>
      <c r="Y633" s="263"/>
      <c r="Z633" s="263"/>
      <c r="AA633" s="263"/>
      <c r="AB633" s="263"/>
      <c r="AC633" s="263"/>
      <c r="AD633" s="263"/>
      <c r="AE633" s="263"/>
      <c r="AF633" s="263"/>
      <c r="AG633" s="263"/>
      <c r="AH633" s="263"/>
      <c r="AI633" s="263"/>
      <c r="AJ633" s="263"/>
      <c r="AK633" s="263"/>
    </row>
    <row r="634">
      <c r="L634" s="262"/>
      <c r="Q634" s="262"/>
      <c r="R634" s="262"/>
      <c r="S634" s="262"/>
      <c r="T634" s="262"/>
      <c r="U634" s="262"/>
      <c r="V634" s="262"/>
      <c r="W634" s="263"/>
      <c r="X634" s="263"/>
      <c r="Y634" s="263"/>
      <c r="Z634" s="263"/>
      <c r="AA634" s="263"/>
      <c r="AB634" s="263"/>
      <c r="AC634" s="263"/>
      <c r="AD634" s="263"/>
      <c r="AE634" s="263"/>
      <c r="AF634" s="263"/>
      <c r="AG634" s="263"/>
      <c r="AH634" s="263"/>
      <c r="AI634" s="263"/>
      <c r="AJ634" s="263"/>
      <c r="AK634" s="263"/>
    </row>
    <row r="635">
      <c r="L635" s="262"/>
      <c r="Q635" s="262"/>
      <c r="R635" s="262"/>
      <c r="S635" s="262"/>
      <c r="T635" s="262"/>
      <c r="U635" s="262"/>
      <c r="V635" s="262"/>
      <c r="W635" s="263"/>
      <c r="X635" s="263"/>
      <c r="Y635" s="263"/>
      <c r="Z635" s="263"/>
      <c r="AA635" s="263"/>
      <c r="AB635" s="263"/>
      <c r="AC635" s="263"/>
      <c r="AD635" s="263"/>
      <c r="AE635" s="263"/>
      <c r="AF635" s="263"/>
      <c r="AG635" s="263"/>
      <c r="AH635" s="263"/>
      <c r="AI635" s="263"/>
      <c r="AJ635" s="263"/>
      <c r="AK635" s="263"/>
    </row>
    <row r="636">
      <c r="L636" s="262"/>
      <c r="Q636" s="262"/>
      <c r="R636" s="262"/>
      <c r="S636" s="262"/>
      <c r="T636" s="262"/>
      <c r="U636" s="262"/>
      <c r="V636" s="262"/>
      <c r="W636" s="263"/>
      <c r="X636" s="263"/>
      <c r="Y636" s="263"/>
      <c r="Z636" s="263"/>
      <c r="AA636" s="263"/>
      <c r="AB636" s="263"/>
      <c r="AC636" s="263"/>
      <c r="AD636" s="263"/>
      <c r="AE636" s="263"/>
      <c r="AF636" s="263"/>
      <c r="AG636" s="263"/>
      <c r="AH636" s="263"/>
      <c r="AI636" s="263"/>
      <c r="AJ636" s="263"/>
      <c r="AK636" s="263"/>
    </row>
    <row r="637">
      <c r="L637" s="262"/>
      <c r="Q637" s="262"/>
      <c r="R637" s="262"/>
      <c r="S637" s="262"/>
      <c r="T637" s="262"/>
      <c r="U637" s="262"/>
      <c r="V637" s="262"/>
      <c r="W637" s="263"/>
      <c r="X637" s="263"/>
      <c r="Y637" s="263"/>
      <c r="Z637" s="263"/>
      <c r="AA637" s="263"/>
      <c r="AB637" s="263"/>
      <c r="AC637" s="263"/>
      <c r="AD637" s="263"/>
      <c r="AE637" s="263"/>
      <c r="AF637" s="263"/>
      <c r="AG637" s="263"/>
      <c r="AH637" s="263"/>
      <c r="AI637" s="263"/>
      <c r="AJ637" s="263"/>
      <c r="AK637" s="263"/>
    </row>
    <row r="638">
      <c r="L638" s="262"/>
      <c r="Q638" s="262"/>
      <c r="R638" s="262"/>
      <c r="S638" s="262"/>
      <c r="T638" s="262"/>
      <c r="U638" s="262"/>
      <c r="V638" s="262"/>
      <c r="W638" s="263"/>
      <c r="X638" s="263"/>
      <c r="Y638" s="263"/>
      <c r="Z638" s="263"/>
      <c r="AA638" s="263"/>
      <c r="AB638" s="263"/>
      <c r="AC638" s="263"/>
      <c r="AD638" s="263"/>
      <c r="AE638" s="263"/>
      <c r="AF638" s="263"/>
      <c r="AG638" s="263"/>
      <c r="AH638" s="263"/>
      <c r="AI638" s="263"/>
      <c r="AJ638" s="263"/>
      <c r="AK638" s="263"/>
    </row>
    <row r="639">
      <c r="L639" s="262"/>
      <c r="Q639" s="262"/>
      <c r="R639" s="262"/>
      <c r="S639" s="262"/>
      <c r="T639" s="262"/>
      <c r="U639" s="262"/>
      <c r="V639" s="262"/>
      <c r="W639" s="263"/>
      <c r="X639" s="263"/>
      <c r="Y639" s="263"/>
      <c r="Z639" s="263"/>
      <c r="AA639" s="263"/>
      <c r="AB639" s="263"/>
      <c r="AC639" s="263"/>
      <c r="AD639" s="263"/>
      <c r="AE639" s="263"/>
      <c r="AF639" s="263"/>
      <c r="AG639" s="263"/>
      <c r="AH639" s="263"/>
      <c r="AI639" s="263"/>
      <c r="AJ639" s="263"/>
      <c r="AK639" s="263"/>
    </row>
    <row r="640">
      <c r="L640" s="262"/>
      <c r="Q640" s="262"/>
      <c r="R640" s="262"/>
      <c r="S640" s="262"/>
      <c r="T640" s="262"/>
      <c r="U640" s="262"/>
      <c r="V640" s="262"/>
      <c r="W640" s="263"/>
      <c r="X640" s="263"/>
      <c r="Y640" s="263"/>
      <c r="Z640" s="263"/>
      <c r="AA640" s="263"/>
      <c r="AB640" s="263"/>
      <c r="AC640" s="263"/>
      <c r="AD640" s="263"/>
      <c r="AE640" s="263"/>
      <c r="AF640" s="263"/>
      <c r="AG640" s="263"/>
      <c r="AH640" s="263"/>
      <c r="AI640" s="263"/>
      <c r="AJ640" s="263"/>
      <c r="AK640" s="263"/>
    </row>
    <row r="641">
      <c r="L641" s="262"/>
      <c r="Q641" s="262"/>
      <c r="R641" s="262"/>
      <c r="S641" s="262"/>
      <c r="T641" s="262"/>
      <c r="U641" s="262"/>
      <c r="V641" s="262"/>
      <c r="W641" s="263"/>
      <c r="X641" s="263"/>
      <c r="Y641" s="263"/>
      <c r="Z641" s="263"/>
      <c r="AA641" s="263"/>
      <c r="AB641" s="263"/>
      <c r="AC641" s="263"/>
      <c r="AD641" s="263"/>
      <c r="AE641" s="263"/>
      <c r="AF641" s="263"/>
      <c r="AG641" s="263"/>
      <c r="AH641" s="263"/>
      <c r="AI641" s="263"/>
      <c r="AJ641" s="263"/>
      <c r="AK641" s="263"/>
    </row>
    <row r="642">
      <c r="L642" s="262"/>
      <c r="Q642" s="262"/>
      <c r="R642" s="262"/>
      <c r="S642" s="262"/>
      <c r="T642" s="262"/>
      <c r="U642" s="262"/>
      <c r="V642" s="262"/>
      <c r="W642" s="263"/>
      <c r="X642" s="263"/>
      <c r="Y642" s="263"/>
      <c r="Z642" s="263"/>
      <c r="AA642" s="263"/>
      <c r="AB642" s="263"/>
      <c r="AC642" s="263"/>
      <c r="AD642" s="263"/>
      <c r="AE642" s="263"/>
      <c r="AF642" s="263"/>
      <c r="AG642" s="263"/>
      <c r="AH642" s="263"/>
      <c r="AI642" s="263"/>
      <c r="AJ642" s="263"/>
      <c r="AK642" s="263"/>
    </row>
    <row r="643">
      <c r="L643" s="262"/>
      <c r="Q643" s="262"/>
      <c r="R643" s="262"/>
      <c r="S643" s="262"/>
      <c r="T643" s="262"/>
      <c r="U643" s="262"/>
      <c r="V643" s="262"/>
      <c r="W643" s="263"/>
      <c r="X643" s="263"/>
      <c r="Y643" s="263"/>
      <c r="Z643" s="263"/>
      <c r="AA643" s="263"/>
      <c r="AB643" s="263"/>
      <c r="AC643" s="263"/>
      <c r="AD643" s="263"/>
      <c r="AE643" s="263"/>
      <c r="AF643" s="263"/>
      <c r="AG643" s="263"/>
      <c r="AH643" s="263"/>
      <c r="AI643" s="263"/>
      <c r="AJ643" s="263"/>
      <c r="AK643" s="263"/>
    </row>
    <row r="644">
      <c r="L644" s="262"/>
      <c r="Q644" s="262"/>
      <c r="R644" s="262"/>
      <c r="S644" s="262"/>
      <c r="T644" s="262"/>
      <c r="U644" s="262"/>
      <c r="V644" s="262"/>
      <c r="W644" s="263"/>
      <c r="X644" s="263"/>
      <c r="Y644" s="263"/>
      <c r="Z644" s="263"/>
      <c r="AA644" s="263"/>
      <c r="AB644" s="263"/>
      <c r="AC644" s="263"/>
      <c r="AD644" s="263"/>
      <c r="AE644" s="263"/>
      <c r="AF644" s="263"/>
      <c r="AG644" s="263"/>
      <c r="AH644" s="263"/>
      <c r="AI644" s="263"/>
      <c r="AJ644" s="263"/>
      <c r="AK644" s="263"/>
    </row>
    <row r="645">
      <c r="L645" s="262"/>
      <c r="Q645" s="262"/>
      <c r="R645" s="262"/>
      <c r="S645" s="262"/>
      <c r="T645" s="262"/>
      <c r="U645" s="262"/>
      <c r="V645" s="262"/>
      <c r="W645" s="263"/>
      <c r="X645" s="263"/>
      <c r="Y645" s="263"/>
      <c r="Z645" s="263"/>
      <c r="AA645" s="263"/>
      <c r="AB645" s="263"/>
      <c r="AC645" s="263"/>
      <c r="AD645" s="263"/>
      <c r="AE645" s="263"/>
      <c r="AF645" s="263"/>
      <c r="AG645" s="263"/>
      <c r="AH645" s="263"/>
      <c r="AI645" s="263"/>
      <c r="AJ645" s="263"/>
      <c r="AK645" s="263"/>
    </row>
    <row r="646">
      <c r="L646" s="262"/>
      <c r="Q646" s="262"/>
      <c r="R646" s="262"/>
      <c r="S646" s="262"/>
      <c r="T646" s="262"/>
      <c r="U646" s="262"/>
      <c r="V646" s="262"/>
      <c r="W646" s="263"/>
      <c r="X646" s="263"/>
      <c r="Y646" s="263"/>
      <c r="Z646" s="263"/>
      <c r="AA646" s="263"/>
      <c r="AB646" s="263"/>
      <c r="AC646" s="263"/>
      <c r="AD646" s="263"/>
      <c r="AE646" s="263"/>
      <c r="AF646" s="263"/>
      <c r="AG646" s="263"/>
      <c r="AH646" s="263"/>
      <c r="AI646" s="263"/>
      <c r="AJ646" s="263"/>
      <c r="AK646" s="263"/>
    </row>
    <row r="647">
      <c r="L647" s="262"/>
      <c r="Q647" s="262"/>
      <c r="R647" s="262"/>
      <c r="S647" s="262"/>
      <c r="T647" s="262"/>
      <c r="U647" s="262"/>
      <c r="V647" s="262"/>
      <c r="W647" s="263"/>
      <c r="X647" s="263"/>
      <c r="Y647" s="263"/>
      <c r="Z647" s="263"/>
      <c r="AA647" s="263"/>
      <c r="AB647" s="263"/>
      <c r="AC647" s="263"/>
      <c r="AD647" s="263"/>
      <c r="AE647" s="263"/>
      <c r="AF647" s="263"/>
      <c r="AG647" s="263"/>
      <c r="AH647" s="263"/>
      <c r="AI647" s="263"/>
      <c r="AJ647" s="263"/>
      <c r="AK647" s="263"/>
    </row>
    <row r="648">
      <c r="L648" s="262"/>
      <c r="Q648" s="262"/>
      <c r="R648" s="262"/>
      <c r="S648" s="262"/>
      <c r="T648" s="262"/>
      <c r="U648" s="262"/>
      <c r="V648" s="262"/>
      <c r="W648" s="263"/>
      <c r="X648" s="263"/>
      <c r="Y648" s="263"/>
      <c r="Z648" s="263"/>
      <c r="AA648" s="263"/>
      <c r="AB648" s="263"/>
      <c r="AC648" s="263"/>
      <c r="AD648" s="263"/>
      <c r="AE648" s="263"/>
      <c r="AF648" s="263"/>
      <c r="AG648" s="263"/>
      <c r="AH648" s="263"/>
      <c r="AI648" s="263"/>
      <c r="AJ648" s="263"/>
      <c r="AK648" s="263"/>
    </row>
    <row r="649">
      <c r="L649" s="262"/>
      <c r="Q649" s="262"/>
      <c r="R649" s="262"/>
      <c r="S649" s="262"/>
      <c r="T649" s="262"/>
      <c r="U649" s="262"/>
      <c r="V649" s="262"/>
      <c r="W649" s="263"/>
      <c r="X649" s="263"/>
      <c r="Y649" s="263"/>
      <c r="Z649" s="263"/>
      <c r="AA649" s="263"/>
      <c r="AB649" s="263"/>
      <c r="AC649" s="263"/>
      <c r="AD649" s="263"/>
      <c r="AE649" s="263"/>
      <c r="AF649" s="263"/>
      <c r="AG649" s="263"/>
      <c r="AH649" s="263"/>
      <c r="AI649" s="263"/>
      <c r="AJ649" s="263"/>
      <c r="AK649" s="263"/>
    </row>
    <row r="650">
      <c r="L650" s="262"/>
      <c r="Q650" s="262"/>
      <c r="R650" s="262"/>
      <c r="S650" s="262"/>
      <c r="T650" s="262"/>
      <c r="U650" s="262"/>
      <c r="V650" s="262"/>
      <c r="W650" s="263"/>
      <c r="X650" s="263"/>
      <c r="Y650" s="263"/>
      <c r="Z650" s="263"/>
      <c r="AA650" s="263"/>
      <c r="AB650" s="263"/>
      <c r="AC650" s="263"/>
      <c r="AD650" s="263"/>
      <c r="AE650" s="263"/>
      <c r="AF650" s="263"/>
      <c r="AG650" s="263"/>
      <c r="AH650" s="263"/>
      <c r="AI650" s="263"/>
      <c r="AJ650" s="263"/>
      <c r="AK650" s="263"/>
    </row>
    <row r="651">
      <c r="L651" s="262"/>
      <c r="Q651" s="262"/>
      <c r="R651" s="262"/>
      <c r="S651" s="262"/>
      <c r="T651" s="262"/>
      <c r="U651" s="262"/>
      <c r="V651" s="262"/>
      <c r="W651" s="263"/>
      <c r="X651" s="263"/>
      <c r="Y651" s="263"/>
      <c r="Z651" s="263"/>
      <c r="AA651" s="263"/>
      <c r="AB651" s="263"/>
      <c r="AC651" s="263"/>
      <c r="AD651" s="263"/>
      <c r="AE651" s="263"/>
      <c r="AF651" s="263"/>
      <c r="AG651" s="263"/>
      <c r="AH651" s="263"/>
      <c r="AI651" s="263"/>
      <c r="AJ651" s="263"/>
      <c r="AK651" s="263"/>
    </row>
    <row r="652">
      <c r="L652" s="262"/>
      <c r="Q652" s="262"/>
      <c r="R652" s="262"/>
      <c r="S652" s="262"/>
      <c r="T652" s="262"/>
      <c r="U652" s="262"/>
      <c r="V652" s="262"/>
      <c r="W652" s="263"/>
      <c r="X652" s="263"/>
      <c r="Y652" s="263"/>
      <c r="Z652" s="263"/>
      <c r="AA652" s="263"/>
      <c r="AB652" s="263"/>
      <c r="AC652" s="263"/>
      <c r="AD652" s="263"/>
      <c r="AE652" s="263"/>
      <c r="AF652" s="263"/>
      <c r="AG652" s="263"/>
      <c r="AH652" s="263"/>
      <c r="AI652" s="263"/>
      <c r="AJ652" s="263"/>
      <c r="AK652" s="263"/>
    </row>
    <row r="653">
      <c r="L653" s="262"/>
      <c r="Q653" s="262"/>
      <c r="R653" s="262"/>
      <c r="S653" s="262"/>
      <c r="T653" s="262"/>
      <c r="U653" s="262"/>
      <c r="V653" s="262"/>
      <c r="W653" s="263"/>
      <c r="X653" s="263"/>
      <c r="Y653" s="263"/>
      <c r="Z653" s="263"/>
      <c r="AA653" s="263"/>
      <c r="AB653" s="263"/>
      <c r="AC653" s="263"/>
      <c r="AD653" s="263"/>
      <c r="AE653" s="263"/>
      <c r="AF653" s="263"/>
      <c r="AG653" s="263"/>
      <c r="AH653" s="263"/>
      <c r="AI653" s="263"/>
      <c r="AJ653" s="263"/>
      <c r="AK653" s="263"/>
    </row>
    <row r="654">
      <c r="L654" s="262"/>
      <c r="Q654" s="262"/>
      <c r="R654" s="262"/>
      <c r="S654" s="262"/>
      <c r="T654" s="262"/>
      <c r="U654" s="262"/>
      <c r="V654" s="262"/>
      <c r="W654" s="263"/>
      <c r="X654" s="263"/>
      <c r="Y654" s="263"/>
      <c r="Z654" s="263"/>
      <c r="AA654" s="263"/>
      <c r="AB654" s="263"/>
      <c r="AC654" s="263"/>
      <c r="AD654" s="263"/>
      <c r="AE654" s="263"/>
      <c r="AF654" s="263"/>
      <c r="AG654" s="263"/>
      <c r="AH654" s="263"/>
      <c r="AI654" s="263"/>
      <c r="AJ654" s="263"/>
      <c r="AK654" s="263"/>
    </row>
    <row r="655">
      <c r="L655" s="262"/>
      <c r="Q655" s="262"/>
      <c r="R655" s="262"/>
      <c r="S655" s="262"/>
      <c r="T655" s="262"/>
      <c r="U655" s="262"/>
      <c r="V655" s="262"/>
      <c r="W655" s="263"/>
      <c r="X655" s="263"/>
      <c r="Y655" s="263"/>
      <c r="Z655" s="263"/>
      <c r="AA655" s="263"/>
      <c r="AB655" s="263"/>
      <c r="AC655" s="263"/>
      <c r="AD655" s="263"/>
      <c r="AE655" s="263"/>
      <c r="AF655" s="263"/>
      <c r="AG655" s="263"/>
      <c r="AH655" s="263"/>
      <c r="AI655" s="263"/>
      <c r="AJ655" s="263"/>
      <c r="AK655" s="263"/>
    </row>
    <row r="656">
      <c r="L656" s="262"/>
      <c r="Q656" s="262"/>
      <c r="R656" s="262"/>
      <c r="S656" s="262"/>
      <c r="T656" s="262"/>
      <c r="U656" s="262"/>
      <c r="V656" s="262"/>
      <c r="W656" s="263"/>
      <c r="X656" s="263"/>
      <c r="Y656" s="263"/>
      <c r="Z656" s="263"/>
      <c r="AA656" s="263"/>
      <c r="AB656" s="263"/>
      <c r="AC656" s="263"/>
      <c r="AD656" s="263"/>
      <c r="AE656" s="263"/>
      <c r="AF656" s="263"/>
      <c r="AG656" s="263"/>
      <c r="AH656" s="263"/>
      <c r="AI656" s="263"/>
      <c r="AJ656" s="263"/>
      <c r="AK656" s="263"/>
    </row>
    <row r="657">
      <c r="L657" s="262"/>
      <c r="Q657" s="262"/>
      <c r="R657" s="262"/>
      <c r="S657" s="262"/>
      <c r="T657" s="262"/>
      <c r="U657" s="262"/>
      <c r="V657" s="262"/>
      <c r="W657" s="263"/>
      <c r="X657" s="263"/>
      <c r="Y657" s="263"/>
      <c r="Z657" s="263"/>
      <c r="AA657" s="263"/>
      <c r="AB657" s="263"/>
      <c r="AC657" s="263"/>
      <c r="AD657" s="263"/>
      <c r="AE657" s="263"/>
      <c r="AF657" s="263"/>
      <c r="AG657" s="263"/>
      <c r="AH657" s="263"/>
      <c r="AI657" s="263"/>
      <c r="AJ657" s="263"/>
      <c r="AK657" s="263"/>
    </row>
    <row r="658">
      <c r="L658" s="262"/>
      <c r="Q658" s="262"/>
      <c r="R658" s="262"/>
      <c r="S658" s="262"/>
      <c r="T658" s="262"/>
      <c r="U658" s="262"/>
      <c r="V658" s="262"/>
      <c r="W658" s="263"/>
      <c r="X658" s="263"/>
      <c r="Y658" s="263"/>
      <c r="Z658" s="263"/>
      <c r="AA658" s="263"/>
      <c r="AB658" s="263"/>
      <c r="AC658" s="263"/>
      <c r="AD658" s="263"/>
      <c r="AE658" s="263"/>
      <c r="AF658" s="263"/>
      <c r="AG658" s="263"/>
      <c r="AH658" s="263"/>
      <c r="AI658" s="263"/>
      <c r="AJ658" s="263"/>
      <c r="AK658" s="263"/>
    </row>
    <row r="659">
      <c r="L659" s="262"/>
      <c r="Q659" s="262"/>
      <c r="R659" s="262"/>
      <c r="S659" s="262"/>
      <c r="T659" s="262"/>
      <c r="U659" s="262"/>
      <c r="V659" s="262"/>
      <c r="W659" s="263"/>
      <c r="X659" s="263"/>
      <c r="Y659" s="263"/>
      <c r="Z659" s="263"/>
      <c r="AA659" s="263"/>
      <c r="AB659" s="263"/>
      <c r="AC659" s="263"/>
      <c r="AD659" s="263"/>
      <c r="AE659" s="263"/>
      <c r="AF659" s="263"/>
      <c r="AG659" s="263"/>
      <c r="AH659" s="263"/>
      <c r="AI659" s="263"/>
      <c r="AJ659" s="263"/>
      <c r="AK659" s="263"/>
    </row>
    <row r="660">
      <c r="L660" s="262"/>
      <c r="Q660" s="262"/>
      <c r="R660" s="262"/>
      <c r="S660" s="262"/>
      <c r="T660" s="262"/>
      <c r="U660" s="262"/>
      <c r="V660" s="262"/>
      <c r="W660" s="263"/>
      <c r="X660" s="263"/>
      <c r="Y660" s="263"/>
      <c r="Z660" s="263"/>
      <c r="AA660" s="263"/>
      <c r="AB660" s="263"/>
      <c r="AC660" s="263"/>
      <c r="AD660" s="263"/>
      <c r="AE660" s="263"/>
      <c r="AF660" s="263"/>
      <c r="AG660" s="263"/>
      <c r="AH660" s="263"/>
      <c r="AI660" s="263"/>
      <c r="AJ660" s="263"/>
      <c r="AK660" s="263"/>
    </row>
    <row r="661">
      <c r="L661" s="262"/>
      <c r="Q661" s="262"/>
      <c r="R661" s="262"/>
      <c r="S661" s="262"/>
      <c r="T661" s="262"/>
      <c r="U661" s="262"/>
      <c r="V661" s="262"/>
      <c r="W661" s="263"/>
      <c r="X661" s="263"/>
      <c r="Y661" s="263"/>
      <c r="Z661" s="263"/>
      <c r="AA661" s="263"/>
      <c r="AB661" s="263"/>
      <c r="AC661" s="263"/>
      <c r="AD661" s="263"/>
      <c r="AE661" s="263"/>
      <c r="AF661" s="263"/>
      <c r="AG661" s="263"/>
      <c r="AH661" s="263"/>
      <c r="AI661" s="263"/>
      <c r="AJ661" s="263"/>
      <c r="AK661" s="263"/>
    </row>
    <row r="662">
      <c r="L662" s="262"/>
      <c r="Q662" s="262"/>
      <c r="R662" s="262"/>
      <c r="S662" s="262"/>
      <c r="T662" s="262"/>
      <c r="U662" s="262"/>
      <c r="V662" s="262"/>
      <c r="W662" s="263"/>
      <c r="X662" s="263"/>
      <c r="Y662" s="263"/>
      <c r="Z662" s="263"/>
      <c r="AA662" s="263"/>
      <c r="AB662" s="263"/>
      <c r="AC662" s="263"/>
      <c r="AD662" s="263"/>
      <c r="AE662" s="263"/>
      <c r="AF662" s="263"/>
      <c r="AG662" s="263"/>
      <c r="AH662" s="263"/>
      <c r="AI662" s="263"/>
      <c r="AJ662" s="263"/>
      <c r="AK662" s="263"/>
    </row>
    <row r="663">
      <c r="L663" s="262"/>
      <c r="Q663" s="262"/>
      <c r="R663" s="262"/>
      <c r="S663" s="262"/>
      <c r="T663" s="262"/>
      <c r="U663" s="262"/>
      <c r="V663" s="262"/>
      <c r="W663" s="263"/>
      <c r="X663" s="263"/>
      <c r="Y663" s="263"/>
      <c r="Z663" s="263"/>
      <c r="AA663" s="263"/>
      <c r="AB663" s="263"/>
      <c r="AC663" s="263"/>
      <c r="AD663" s="263"/>
      <c r="AE663" s="263"/>
      <c r="AF663" s="263"/>
      <c r="AG663" s="263"/>
      <c r="AH663" s="263"/>
      <c r="AI663" s="263"/>
      <c r="AJ663" s="263"/>
      <c r="AK663" s="263"/>
    </row>
    <row r="664">
      <c r="L664" s="262"/>
      <c r="Q664" s="262"/>
      <c r="R664" s="262"/>
      <c r="S664" s="262"/>
      <c r="T664" s="262"/>
      <c r="U664" s="262"/>
      <c r="V664" s="262"/>
      <c r="W664" s="263"/>
      <c r="X664" s="263"/>
      <c r="Y664" s="263"/>
      <c r="Z664" s="263"/>
      <c r="AA664" s="263"/>
      <c r="AB664" s="263"/>
      <c r="AC664" s="263"/>
      <c r="AD664" s="263"/>
      <c r="AE664" s="263"/>
      <c r="AF664" s="263"/>
      <c r="AG664" s="263"/>
      <c r="AH664" s="263"/>
      <c r="AI664" s="263"/>
      <c r="AJ664" s="263"/>
      <c r="AK664" s="263"/>
    </row>
    <row r="665">
      <c r="L665" s="262"/>
      <c r="Q665" s="262"/>
      <c r="R665" s="262"/>
      <c r="S665" s="262"/>
      <c r="T665" s="262"/>
      <c r="U665" s="262"/>
      <c r="V665" s="262"/>
      <c r="W665" s="263"/>
      <c r="X665" s="263"/>
      <c r="Y665" s="263"/>
      <c r="Z665" s="263"/>
      <c r="AA665" s="263"/>
      <c r="AB665" s="263"/>
      <c r="AC665" s="263"/>
      <c r="AD665" s="263"/>
      <c r="AE665" s="263"/>
      <c r="AF665" s="263"/>
      <c r="AG665" s="263"/>
      <c r="AH665" s="263"/>
      <c r="AI665" s="263"/>
      <c r="AJ665" s="263"/>
      <c r="AK665" s="263"/>
    </row>
    <row r="666">
      <c r="L666" s="262"/>
      <c r="Q666" s="262"/>
      <c r="R666" s="262"/>
      <c r="S666" s="262"/>
      <c r="T666" s="262"/>
      <c r="U666" s="262"/>
      <c r="V666" s="262"/>
      <c r="W666" s="263"/>
      <c r="X666" s="263"/>
      <c r="Y666" s="263"/>
      <c r="Z666" s="263"/>
      <c r="AA666" s="263"/>
      <c r="AB666" s="263"/>
      <c r="AC666" s="263"/>
      <c r="AD666" s="263"/>
      <c r="AE666" s="263"/>
      <c r="AF666" s="263"/>
      <c r="AG666" s="263"/>
      <c r="AH666" s="263"/>
      <c r="AI666" s="263"/>
      <c r="AJ666" s="263"/>
      <c r="AK666" s="263"/>
    </row>
    <row r="667">
      <c r="L667" s="262"/>
      <c r="Q667" s="262"/>
      <c r="R667" s="262"/>
      <c r="S667" s="262"/>
      <c r="T667" s="262"/>
      <c r="U667" s="262"/>
      <c r="V667" s="262"/>
      <c r="W667" s="263"/>
      <c r="X667" s="263"/>
      <c r="Y667" s="263"/>
      <c r="Z667" s="263"/>
      <c r="AA667" s="263"/>
      <c r="AB667" s="263"/>
      <c r="AC667" s="263"/>
      <c r="AD667" s="263"/>
      <c r="AE667" s="263"/>
      <c r="AF667" s="263"/>
      <c r="AG667" s="263"/>
      <c r="AH667" s="263"/>
      <c r="AI667" s="263"/>
      <c r="AJ667" s="263"/>
      <c r="AK667" s="263"/>
    </row>
    <row r="668">
      <c r="L668" s="262"/>
      <c r="Q668" s="262"/>
      <c r="R668" s="262"/>
      <c r="S668" s="262"/>
      <c r="T668" s="262"/>
      <c r="U668" s="262"/>
      <c r="V668" s="262"/>
      <c r="W668" s="263"/>
      <c r="X668" s="263"/>
      <c r="Y668" s="263"/>
      <c r="Z668" s="263"/>
      <c r="AA668" s="263"/>
      <c r="AB668" s="263"/>
      <c r="AC668" s="263"/>
      <c r="AD668" s="263"/>
      <c r="AE668" s="263"/>
      <c r="AF668" s="263"/>
      <c r="AG668" s="263"/>
      <c r="AH668" s="263"/>
      <c r="AI668" s="263"/>
      <c r="AJ668" s="263"/>
      <c r="AK668" s="263"/>
    </row>
    <row r="669">
      <c r="L669" s="262"/>
      <c r="Q669" s="262"/>
      <c r="R669" s="262"/>
      <c r="S669" s="262"/>
      <c r="T669" s="262"/>
      <c r="U669" s="262"/>
      <c r="V669" s="262"/>
      <c r="W669" s="263"/>
      <c r="X669" s="263"/>
      <c r="Y669" s="263"/>
      <c r="Z669" s="263"/>
      <c r="AA669" s="263"/>
      <c r="AB669" s="263"/>
      <c r="AC669" s="263"/>
      <c r="AD669" s="263"/>
      <c r="AE669" s="263"/>
      <c r="AF669" s="263"/>
      <c r="AG669" s="263"/>
      <c r="AH669" s="263"/>
      <c r="AI669" s="263"/>
      <c r="AJ669" s="263"/>
      <c r="AK669" s="263"/>
    </row>
    <row r="670">
      <c r="L670" s="262"/>
      <c r="Q670" s="262"/>
      <c r="R670" s="262"/>
      <c r="S670" s="262"/>
      <c r="T670" s="262"/>
      <c r="U670" s="262"/>
      <c r="V670" s="262"/>
      <c r="W670" s="263"/>
      <c r="X670" s="263"/>
      <c r="Y670" s="263"/>
      <c r="Z670" s="263"/>
      <c r="AA670" s="263"/>
      <c r="AB670" s="263"/>
      <c r="AC670" s="263"/>
      <c r="AD670" s="263"/>
      <c r="AE670" s="263"/>
      <c r="AF670" s="263"/>
      <c r="AG670" s="263"/>
      <c r="AH670" s="263"/>
      <c r="AI670" s="263"/>
      <c r="AJ670" s="263"/>
      <c r="AK670" s="263"/>
    </row>
    <row r="671">
      <c r="L671" s="262"/>
      <c r="Q671" s="262"/>
      <c r="R671" s="262"/>
      <c r="S671" s="262"/>
      <c r="T671" s="262"/>
      <c r="U671" s="262"/>
      <c r="V671" s="262"/>
      <c r="W671" s="263"/>
      <c r="X671" s="263"/>
      <c r="Y671" s="263"/>
      <c r="Z671" s="263"/>
      <c r="AA671" s="263"/>
      <c r="AB671" s="263"/>
      <c r="AC671" s="263"/>
      <c r="AD671" s="263"/>
      <c r="AE671" s="263"/>
      <c r="AF671" s="263"/>
      <c r="AG671" s="263"/>
      <c r="AH671" s="263"/>
      <c r="AI671" s="263"/>
      <c r="AJ671" s="263"/>
      <c r="AK671" s="263"/>
    </row>
    <row r="672">
      <c r="L672" s="262"/>
      <c r="Q672" s="262"/>
      <c r="R672" s="262"/>
      <c r="S672" s="262"/>
      <c r="T672" s="262"/>
      <c r="U672" s="262"/>
      <c r="V672" s="262"/>
      <c r="W672" s="263"/>
      <c r="X672" s="263"/>
      <c r="Y672" s="263"/>
      <c r="Z672" s="263"/>
      <c r="AA672" s="263"/>
      <c r="AB672" s="263"/>
      <c r="AC672" s="263"/>
      <c r="AD672" s="263"/>
      <c r="AE672" s="263"/>
      <c r="AF672" s="263"/>
      <c r="AG672" s="263"/>
      <c r="AH672" s="263"/>
      <c r="AI672" s="263"/>
      <c r="AJ672" s="263"/>
      <c r="AK672" s="263"/>
    </row>
    <row r="673">
      <c r="L673" s="262"/>
      <c r="Q673" s="262"/>
      <c r="R673" s="262"/>
      <c r="S673" s="262"/>
      <c r="T673" s="262"/>
      <c r="U673" s="262"/>
      <c r="V673" s="262"/>
      <c r="W673" s="263"/>
      <c r="X673" s="263"/>
      <c r="Y673" s="263"/>
      <c r="Z673" s="263"/>
      <c r="AA673" s="263"/>
      <c r="AB673" s="263"/>
      <c r="AC673" s="263"/>
      <c r="AD673" s="263"/>
      <c r="AE673" s="263"/>
      <c r="AF673" s="263"/>
      <c r="AG673" s="263"/>
      <c r="AH673" s="263"/>
      <c r="AI673" s="263"/>
      <c r="AJ673" s="263"/>
      <c r="AK673" s="263"/>
    </row>
    <row r="674">
      <c r="L674" s="262"/>
      <c r="Q674" s="262"/>
      <c r="R674" s="262"/>
      <c r="S674" s="262"/>
      <c r="T674" s="262"/>
      <c r="U674" s="262"/>
      <c r="V674" s="262"/>
      <c r="W674" s="263"/>
      <c r="X674" s="263"/>
      <c r="Y674" s="263"/>
      <c r="Z674" s="263"/>
      <c r="AA674" s="263"/>
      <c r="AB674" s="263"/>
      <c r="AC674" s="263"/>
      <c r="AD674" s="263"/>
      <c r="AE674" s="263"/>
      <c r="AF674" s="263"/>
      <c r="AG674" s="263"/>
      <c r="AH674" s="263"/>
      <c r="AI674" s="263"/>
      <c r="AJ674" s="263"/>
      <c r="AK674" s="263"/>
    </row>
    <row r="675">
      <c r="L675" s="262"/>
      <c r="Q675" s="262"/>
      <c r="R675" s="262"/>
      <c r="S675" s="262"/>
      <c r="T675" s="262"/>
      <c r="U675" s="262"/>
      <c r="V675" s="262"/>
      <c r="W675" s="263"/>
      <c r="X675" s="263"/>
      <c r="Y675" s="263"/>
      <c r="Z675" s="263"/>
      <c r="AA675" s="263"/>
      <c r="AB675" s="263"/>
      <c r="AC675" s="263"/>
      <c r="AD675" s="263"/>
      <c r="AE675" s="263"/>
      <c r="AF675" s="263"/>
      <c r="AG675" s="263"/>
      <c r="AH675" s="263"/>
      <c r="AI675" s="263"/>
      <c r="AJ675" s="263"/>
      <c r="AK675" s="263"/>
    </row>
    <row r="676">
      <c r="L676" s="262"/>
      <c r="Q676" s="262"/>
      <c r="R676" s="262"/>
      <c r="S676" s="262"/>
      <c r="T676" s="262"/>
      <c r="U676" s="262"/>
      <c r="V676" s="262"/>
      <c r="W676" s="263"/>
      <c r="X676" s="263"/>
      <c r="Y676" s="263"/>
      <c r="Z676" s="263"/>
      <c r="AA676" s="263"/>
      <c r="AB676" s="263"/>
      <c r="AC676" s="263"/>
      <c r="AD676" s="263"/>
      <c r="AE676" s="263"/>
      <c r="AF676" s="263"/>
      <c r="AG676" s="263"/>
      <c r="AH676" s="263"/>
      <c r="AI676" s="263"/>
      <c r="AJ676" s="263"/>
      <c r="AK676" s="263"/>
    </row>
    <row r="677">
      <c r="L677" s="262"/>
      <c r="Q677" s="262"/>
      <c r="R677" s="262"/>
      <c r="S677" s="262"/>
      <c r="T677" s="262"/>
      <c r="U677" s="262"/>
      <c r="V677" s="262"/>
      <c r="W677" s="263"/>
      <c r="X677" s="263"/>
      <c r="Y677" s="263"/>
      <c r="Z677" s="263"/>
      <c r="AA677" s="263"/>
      <c r="AB677" s="263"/>
      <c r="AC677" s="263"/>
      <c r="AD677" s="263"/>
      <c r="AE677" s="263"/>
      <c r="AF677" s="263"/>
      <c r="AG677" s="263"/>
      <c r="AH677" s="263"/>
      <c r="AI677" s="263"/>
      <c r="AJ677" s="263"/>
      <c r="AK677" s="263"/>
    </row>
    <row r="678">
      <c r="L678" s="262"/>
      <c r="Q678" s="262"/>
      <c r="R678" s="262"/>
      <c r="S678" s="262"/>
      <c r="T678" s="262"/>
      <c r="U678" s="262"/>
      <c r="V678" s="262"/>
      <c r="W678" s="263"/>
      <c r="X678" s="263"/>
      <c r="Y678" s="263"/>
      <c r="Z678" s="263"/>
      <c r="AA678" s="263"/>
      <c r="AB678" s="263"/>
      <c r="AC678" s="263"/>
      <c r="AD678" s="263"/>
      <c r="AE678" s="263"/>
      <c r="AF678" s="263"/>
      <c r="AG678" s="263"/>
      <c r="AH678" s="263"/>
      <c r="AI678" s="263"/>
      <c r="AJ678" s="263"/>
      <c r="AK678" s="263"/>
    </row>
    <row r="679">
      <c r="L679" s="262"/>
      <c r="Q679" s="262"/>
      <c r="R679" s="262"/>
      <c r="S679" s="262"/>
      <c r="T679" s="262"/>
      <c r="U679" s="262"/>
      <c r="V679" s="262"/>
      <c r="W679" s="263"/>
      <c r="X679" s="263"/>
      <c r="Y679" s="263"/>
      <c r="Z679" s="263"/>
      <c r="AA679" s="263"/>
      <c r="AB679" s="263"/>
      <c r="AC679" s="263"/>
      <c r="AD679" s="263"/>
      <c r="AE679" s="263"/>
      <c r="AF679" s="263"/>
      <c r="AG679" s="263"/>
      <c r="AH679" s="263"/>
      <c r="AI679" s="263"/>
      <c r="AJ679" s="263"/>
      <c r="AK679" s="263"/>
    </row>
    <row r="680">
      <c r="L680" s="262"/>
      <c r="Q680" s="262"/>
      <c r="R680" s="262"/>
      <c r="S680" s="262"/>
      <c r="T680" s="262"/>
      <c r="U680" s="262"/>
      <c r="V680" s="262"/>
      <c r="W680" s="263"/>
      <c r="X680" s="263"/>
      <c r="Y680" s="263"/>
      <c r="Z680" s="263"/>
      <c r="AA680" s="263"/>
      <c r="AB680" s="263"/>
      <c r="AC680" s="263"/>
      <c r="AD680" s="263"/>
      <c r="AE680" s="263"/>
      <c r="AF680" s="263"/>
      <c r="AG680" s="263"/>
      <c r="AH680" s="263"/>
      <c r="AI680" s="263"/>
      <c r="AJ680" s="263"/>
      <c r="AK680" s="263"/>
    </row>
    <row r="681">
      <c r="L681" s="262"/>
      <c r="Q681" s="262"/>
      <c r="R681" s="262"/>
      <c r="S681" s="262"/>
      <c r="T681" s="262"/>
      <c r="U681" s="262"/>
      <c r="V681" s="262"/>
      <c r="W681" s="263"/>
      <c r="X681" s="263"/>
      <c r="Y681" s="263"/>
      <c r="Z681" s="263"/>
      <c r="AA681" s="263"/>
      <c r="AB681" s="263"/>
      <c r="AC681" s="263"/>
      <c r="AD681" s="263"/>
      <c r="AE681" s="263"/>
      <c r="AF681" s="263"/>
      <c r="AG681" s="263"/>
      <c r="AH681" s="263"/>
      <c r="AI681" s="263"/>
      <c r="AJ681" s="263"/>
      <c r="AK681" s="263"/>
    </row>
    <row r="682">
      <c r="L682" s="262"/>
      <c r="Q682" s="262"/>
      <c r="R682" s="262"/>
      <c r="S682" s="262"/>
      <c r="T682" s="262"/>
      <c r="U682" s="262"/>
      <c r="V682" s="262"/>
      <c r="W682" s="263"/>
      <c r="X682" s="263"/>
      <c r="Y682" s="263"/>
      <c r="Z682" s="263"/>
      <c r="AA682" s="263"/>
      <c r="AB682" s="263"/>
      <c r="AC682" s="263"/>
      <c r="AD682" s="263"/>
      <c r="AE682" s="263"/>
      <c r="AF682" s="263"/>
      <c r="AG682" s="263"/>
      <c r="AH682" s="263"/>
      <c r="AI682" s="263"/>
      <c r="AJ682" s="263"/>
      <c r="AK682" s="263"/>
    </row>
    <row r="683">
      <c r="L683" s="262"/>
      <c r="Q683" s="262"/>
      <c r="R683" s="262"/>
      <c r="S683" s="262"/>
      <c r="T683" s="262"/>
      <c r="U683" s="262"/>
      <c r="V683" s="262"/>
      <c r="W683" s="263"/>
      <c r="X683" s="263"/>
      <c r="Y683" s="263"/>
      <c r="Z683" s="263"/>
      <c r="AA683" s="263"/>
      <c r="AB683" s="263"/>
      <c r="AC683" s="263"/>
      <c r="AD683" s="263"/>
      <c r="AE683" s="263"/>
      <c r="AF683" s="263"/>
      <c r="AG683" s="263"/>
      <c r="AH683" s="263"/>
      <c r="AI683" s="263"/>
      <c r="AJ683" s="263"/>
      <c r="AK683" s="263"/>
    </row>
    <row r="684">
      <c r="L684" s="262"/>
      <c r="Q684" s="262"/>
      <c r="R684" s="262"/>
      <c r="S684" s="262"/>
      <c r="T684" s="262"/>
      <c r="U684" s="262"/>
      <c r="V684" s="262"/>
      <c r="W684" s="263"/>
      <c r="X684" s="263"/>
      <c r="Y684" s="263"/>
      <c r="Z684" s="263"/>
      <c r="AA684" s="263"/>
      <c r="AB684" s="263"/>
      <c r="AC684" s="263"/>
      <c r="AD684" s="263"/>
      <c r="AE684" s="263"/>
      <c r="AF684" s="263"/>
      <c r="AG684" s="263"/>
      <c r="AH684" s="263"/>
      <c r="AI684" s="263"/>
      <c r="AJ684" s="263"/>
      <c r="AK684" s="263"/>
    </row>
    <row r="685">
      <c r="L685" s="262"/>
      <c r="Q685" s="262"/>
      <c r="R685" s="262"/>
      <c r="S685" s="262"/>
      <c r="T685" s="262"/>
      <c r="U685" s="262"/>
      <c r="V685" s="262"/>
      <c r="W685" s="263"/>
      <c r="X685" s="263"/>
      <c r="Y685" s="263"/>
      <c r="Z685" s="263"/>
      <c r="AA685" s="263"/>
      <c r="AB685" s="263"/>
      <c r="AC685" s="263"/>
      <c r="AD685" s="263"/>
      <c r="AE685" s="263"/>
      <c r="AF685" s="263"/>
      <c r="AG685" s="263"/>
      <c r="AH685" s="263"/>
      <c r="AI685" s="263"/>
      <c r="AJ685" s="263"/>
      <c r="AK685" s="263"/>
    </row>
    <row r="686">
      <c r="L686" s="262"/>
      <c r="Q686" s="262"/>
      <c r="R686" s="262"/>
      <c r="S686" s="262"/>
      <c r="T686" s="262"/>
      <c r="U686" s="262"/>
      <c r="V686" s="262"/>
      <c r="W686" s="263"/>
      <c r="X686" s="263"/>
      <c r="Y686" s="263"/>
      <c r="Z686" s="263"/>
      <c r="AA686" s="263"/>
      <c r="AB686" s="263"/>
      <c r="AC686" s="263"/>
      <c r="AD686" s="263"/>
      <c r="AE686" s="263"/>
      <c r="AF686" s="263"/>
      <c r="AG686" s="263"/>
      <c r="AH686" s="263"/>
      <c r="AI686" s="263"/>
      <c r="AJ686" s="263"/>
      <c r="AK686" s="263"/>
    </row>
    <row r="687">
      <c r="L687" s="262"/>
      <c r="Q687" s="262"/>
      <c r="R687" s="262"/>
      <c r="S687" s="262"/>
      <c r="T687" s="262"/>
      <c r="U687" s="262"/>
      <c r="V687" s="262"/>
      <c r="W687" s="263"/>
      <c r="X687" s="263"/>
      <c r="Y687" s="263"/>
      <c r="Z687" s="263"/>
      <c r="AA687" s="263"/>
      <c r="AB687" s="263"/>
      <c r="AC687" s="263"/>
      <c r="AD687" s="263"/>
      <c r="AE687" s="263"/>
      <c r="AF687" s="263"/>
      <c r="AG687" s="263"/>
      <c r="AH687" s="263"/>
      <c r="AI687" s="263"/>
      <c r="AJ687" s="263"/>
      <c r="AK687" s="263"/>
    </row>
    <row r="688">
      <c r="L688" s="262"/>
      <c r="Q688" s="262"/>
      <c r="R688" s="262"/>
      <c r="S688" s="262"/>
      <c r="T688" s="262"/>
      <c r="U688" s="262"/>
      <c r="V688" s="262"/>
      <c r="W688" s="263"/>
      <c r="X688" s="263"/>
      <c r="Y688" s="263"/>
      <c r="Z688" s="263"/>
      <c r="AA688" s="263"/>
      <c r="AB688" s="263"/>
      <c r="AC688" s="263"/>
      <c r="AD688" s="263"/>
      <c r="AE688" s="263"/>
      <c r="AF688" s="263"/>
      <c r="AG688" s="263"/>
      <c r="AH688" s="263"/>
      <c r="AI688" s="263"/>
      <c r="AJ688" s="263"/>
      <c r="AK688" s="263"/>
    </row>
    <row r="689">
      <c r="L689" s="262"/>
      <c r="Q689" s="262"/>
      <c r="R689" s="262"/>
      <c r="S689" s="262"/>
      <c r="T689" s="262"/>
      <c r="U689" s="262"/>
      <c r="V689" s="262"/>
      <c r="W689" s="263"/>
      <c r="X689" s="263"/>
      <c r="Y689" s="263"/>
      <c r="Z689" s="263"/>
      <c r="AA689" s="263"/>
      <c r="AB689" s="263"/>
      <c r="AC689" s="263"/>
      <c r="AD689" s="263"/>
      <c r="AE689" s="263"/>
      <c r="AF689" s="263"/>
      <c r="AG689" s="263"/>
      <c r="AH689" s="263"/>
      <c r="AI689" s="263"/>
      <c r="AJ689" s="263"/>
      <c r="AK689" s="263"/>
    </row>
    <row r="690">
      <c r="L690" s="262"/>
      <c r="Q690" s="262"/>
      <c r="R690" s="262"/>
      <c r="S690" s="262"/>
      <c r="T690" s="262"/>
      <c r="U690" s="262"/>
      <c r="V690" s="262"/>
      <c r="W690" s="263"/>
      <c r="X690" s="263"/>
      <c r="Y690" s="263"/>
      <c r="Z690" s="263"/>
      <c r="AA690" s="263"/>
      <c r="AB690" s="263"/>
      <c r="AC690" s="263"/>
      <c r="AD690" s="263"/>
      <c r="AE690" s="263"/>
      <c r="AF690" s="263"/>
      <c r="AG690" s="263"/>
      <c r="AH690" s="263"/>
      <c r="AI690" s="263"/>
      <c r="AJ690" s="263"/>
      <c r="AK690" s="263"/>
    </row>
    <row r="691">
      <c r="L691" s="262"/>
      <c r="Q691" s="262"/>
      <c r="R691" s="262"/>
      <c r="S691" s="262"/>
      <c r="T691" s="262"/>
      <c r="U691" s="262"/>
      <c r="V691" s="262"/>
      <c r="W691" s="263"/>
      <c r="X691" s="263"/>
      <c r="Y691" s="263"/>
      <c r="Z691" s="263"/>
      <c r="AA691" s="263"/>
      <c r="AB691" s="263"/>
      <c r="AC691" s="263"/>
      <c r="AD691" s="263"/>
      <c r="AE691" s="263"/>
      <c r="AF691" s="263"/>
      <c r="AG691" s="263"/>
      <c r="AH691" s="263"/>
      <c r="AI691" s="263"/>
      <c r="AJ691" s="263"/>
      <c r="AK691" s="263"/>
    </row>
    <row r="692">
      <c r="L692" s="262"/>
      <c r="Q692" s="262"/>
      <c r="R692" s="262"/>
      <c r="S692" s="262"/>
      <c r="T692" s="262"/>
      <c r="U692" s="262"/>
      <c r="V692" s="262"/>
      <c r="W692" s="263"/>
      <c r="X692" s="263"/>
      <c r="Y692" s="263"/>
      <c r="Z692" s="263"/>
      <c r="AA692" s="263"/>
      <c r="AB692" s="263"/>
      <c r="AC692" s="263"/>
      <c r="AD692" s="263"/>
      <c r="AE692" s="263"/>
      <c r="AF692" s="263"/>
      <c r="AG692" s="263"/>
      <c r="AH692" s="263"/>
      <c r="AI692" s="263"/>
      <c r="AJ692" s="263"/>
      <c r="AK692" s="263"/>
    </row>
    <row r="693">
      <c r="L693" s="262"/>
      <c r="Q693" s="262"/>
      <c r="R693" s="262"/>
      <c r="S693" s="262"/>
      <c r="T693" s="262"/>
      <c r="U693" s="262"/>
      <c r="V693" s="262"/>
      <c r="W693" s="263"/>
      <c r="X693" s="263"/>
      <c r="Y693" s="263"/>
      <c r="Z693" s="263"/>
      <c r="AA693" s="263"/>
      <c r="AB693" s="263"/>
      <c r="AC693" s="263"/>
      <c r="AD693" s="263"/>
      <c r="AE693" s="263"/>
      <c r="AF693" s="263"/>
      <c r="AG693" s="263"/>
      <c r="AH693" s="263"/>
      <c r="AI693" s="263"/>
      <c r="AJ693" s="263"/>
      <c r="AK693" s="263"/>
    </row>
    <row r="694">
      <c r="L694" s="262"/>
      <c r="Q694" s="262"/>
      <c r="R694" s="262"/>
      <c r="S694" s="262"/>
      <c r="T694" s="262"/>
      <c r="U694" s="262"/>
      <c r="V694" s="262"/>
      <c r="W694" s="263"/>
      <c r="X694" s="263"/>
      <c r="Y694" s="263"/>
      <c r="Z694" s="263"/>
      <c r="AA694" s="263"/>
      <c r="AB694" s="263"/>
      <c r="AC694" s="263"/>
      <c r="AD694" s="263"/>
      <c r="AE694" s="263"/>
      <c r="AF694" s="263"/>
      <c r="AG694" s="263"/>
      <c r="AH694" s="263"/>
      <c r="AI694" s="263"/>
      <c r="AJ694" s="263"/>
      <c r="AK694" s="263"/>
    </row>
    <row r="695">
      <c r="L695" s="262"/>
      <c r="Q695" s="262"/>
      <c r="R695" s="262"/>
      <c r="S695" s="262"/>
      <c r="T695" s="262"/>
      <c r="U695" s="262"/>
      <c r="V695" s="262"/>
      <c r="W695" s="263"/>
      <c r="X695" s="263"/>
      <c r="Y695" s="263"/>
      <c r="Z695" s="263"/>
      <c r="AA695" s="263"/>
      <c r="AB695" s="263"/>
      <c r="AC695" s="263"/>
      <c r="AD695" s="263"/>
      <c r="AE695" s="263"/>
      <c r="AF695" s="263"/>
      <c r="AG695" s="263"/>
      <c r="AH695" s="263"/>
      <c r="AI695" s="263"/>
      <c r="AJ695" s="263"/>
      <c r="AK695" s="263"/>
    </row>
    <row r="696">
      <c r="L696" s="262"/>
      <c r="Q696" s="262"/>
      <c r="R696" s="262"/>
      <c r="S696" s="262"/>
      <c r="T696" s="262"/>
      <c r="U696" s="262"/>
      <c r="V696" s="262"/>
      <c r="W696" s="263"/>
      <c r="X696" s="263"/>
      <c r="Y696" s="263"/>
      <c r="Z696" s="263"/>
      <c r="AA696" s="263"/>
      <c r="AB696" s="263"/>
      <c r="AC696" s="263"/>
      <c r="AD696" s="263"/>
      <c r="AE696" s="263"/>
      <c r="AF696" s="263"/>
      <c r="AG696" s="263"/>
      <c r="AH696" s="263"/>
      <c r="AI696" s="263"/>
      <c r="AJ696" s="263"/>
      <c r="AK696" s="263"/>
    </row>
    <row r="697">
      <c r="L697" s="262"/>
      <c r="Q697" s="262"/>
      <c r="R697" s="262"/>
      <c r="S697" s="262"/>
      <c r="T697" s="262"/>
      <c r="U697" s="262"/>
      <c r="V697" s="262"/>
      <c r="W697" s="263"/>
      <c r="X697" s="263"/>
      <c r="Y697" s="263"/>
      <c r="Z697" s="263"/>
      <c r="AA697" s="263"/>
      <c r="AB697" s="263"/>
      <c r="AC697" s="263"/>
      <c r="AD697" s="263"/>
      <c r="AE697" s="263"/>
      <c r="AF697" s="263"/>
      <c r="AG697" s="263"/>
      <c r="AH697" s="263"/>
      <c r="AI697" s="263"/>
      <c r="AJ697" s="263"/>
      <c r="AK697" s="263"/>
    </row>
    <row r="698">
      <c r="L698" s="262"/>
      <c r="Q698" s="262"/>
      <c r="R698" s="262"/>
      <c r="S698" s="262"/>
      <c r="T698" s="262"/>
      <c r="U698" s="262"/>
      <c r="V698" s="262"/>
      <c r="W698" s="263"/>
      <c r="X698" s="263"/>
      <c r="Y698" s="263"/>
      <c r="Z698" s="263"/>
      <c r="AA698" s="263"/>
      <c r="AB698" s="263"/>
      <c r="AC698" s="263"/>
      <c r="AD698" s="263"/>
      <c r="AE698" s="263"/>
      <c r="AF698" s="263"/>
      <c r="AG698" s="263"/>
      <c r="AH698" s="263"/>
      <c r="AI698" s="263"/>
      <c r="AJ698" s="263"/>
      <c r="AK698" s="263"/>
    </row>
    <row r="699">
      <c r="L699" s="262"/>
      <c r="Q699" s="262"/>
      <c r="R699" s="262"/>
      <c r="S699" s="262"/>
      <c r="T699" s="262"/>
      <c r="U699" s="262"/>
      <c r="V699" s="262"/>
      <c r="W699" s="263"/>
      <c r="X699" s="263"/>
      <c r="Y699" s="263"/>
      <c r="Z699" s="263"/>
      <c r="AA699" s="263"/>
      <c r="AB699" s="263"/>
      <c r="AC699" s="263"/>
      <c r="AD699" s="263"/>
      <c r="AE699" s="263"/>
      <c r="AF699" s="263"/>
      <c r="AG699" s="263"/>
      <c r="AH699" s="263"/>
      <c r="AI699" s="263"/>
      <c r="AJ699" s="263"/>
      <c r="AK699" s="263"/>
    </row>
    <row r="700">
      <c r="L700" s="262"/>
      <c r="Q700" s="262"/>
      <c r="R700" s="262"/>
      <c r="S700" s="262"/>
      <c r="T700" s="262"/>
      <c r="U700" s="262"/>
      <c r="V700" s="262"/>
      <c r="W700" s="263"/>
      <c r="X700" s="263"/>
      <c r="Y700" s="263"/>
      <c r="Z700" s="263"/>
      <c r="AA700" s="263"/>
      <c r="AB700" s="263"/>
      <c r="AC700" s="263"/>
      <c r="AD700" s="263"/>
      <c r="AE700" s="263"/>
      <c r="AF700" s="263"/>
      <c r="AG700" s="263"/>
      <c r="AH700" s="263"/>
      <c r="AI700" s="263"/>
      <c r="AJ700" s="263"/>
      <c r="AK700" s="263"/>
    </row>
    <row r="701">
      <c r="L701" s="262"/>
      <c r="Q701" s="262"/>
      <c r="R701" s="262"/>
      <c r="S701" s="262"/>
      <c r="T701" s="262"/>
      <c r="U701" s="262"/>
      <c r="V701" s="262"/>
      <c r="W701" s="263"/>
      <c r="X701" s="263"/>
      <c r="Y701" s="263"/>
      <c r="Z701" s="263"/>
      <c r="AA701" s="263"/>
      <c r="AB701" s="263"/>
      <c r="AC701" s="263"/>
      <c r="AD701" s="263"/>
      <c r="AE701" s="263"/>
      <c r="AF701" s="263"/>
      <c r="AG701" s="263"/>
      <c r="AH701" s="263"/>
      <c r="AI701" s="263"/>
      <c r="AJ701" s="263"/>
      <c r="AK701" s="263"/>
    </row>
    <row r="702">
      <c r="L702" s="262"/>
      <c r="Q702" s="262"/>
      <c r="R702" s="262"/>
      <c r="S702" s="262"/>
      <c r="T702" s="262"/>
      <c r="U702" s="262"/>
      <c r="V702" s="262"/>
      <c r="W702" s="263"/>
      <c r="X702" s="263"/>
      <c r="Y702" s="263"/>
      <c r="Z702" s="263"/>
      <c r="AA702" s="263"/>
      <c r="AB702" s="263"/>
      <c r="AC702" s="263"/>
      <c r="AD702" s="263"/>
      <c r="AE702" s="263"/>
      <c r="AF702" s="263"/>
      <c r="AG702" s="263"/>
      <c r="AH702" s="263"/>
      <c r="AI702" s="263"/>
      <c r="AJ702" s="263"/>
      <c r="AK702" s="263"/>
    </row>
    <row r="703">
      <c r="L703" s="262"/>
      <c r="Q703" s="262"/>
      <c r="R703" s="262"/>
      <c r="S703" s="262"/>
      <c r="T703" s="262"/>
      <c r="U703" s="262"/>
      <c r="V703" s="262"/>
      <c r="W703" s="263"/>
      <c r="X703" s="263"/>
      <c r="Y703" s="263"/>
      <c r="Z703" s="263"/>
      <c r="AA703" s="263"/>
      <c r="AB703" s="263"/>
      <c r="AC703" s="263"/>
      <c r="AD703" s="263"/>
      <c r="AE703" s="263"/>
      <c r="AF703" s="263"/>
      <c r="AG703" s="263"/>
      <c r="AH703" s="263"/>
      <c r="AI703" s="263"/>
      <c r="AJ703" s="263"/>
      <c r="AK703" s="263"/>
    </row>
    <row r="704">
      <c r="L704" s="262"/>
      <c r="Q704" s="262"/>
      <c r="R704" s="262"/>
      <c r="S704" s="262"/>
      <c r="T704" s="262"/>
      <c r="U704" s="262"/>
      <c r="V704" s="262"/>
      <c r="W704" s="263"/>
      <c r="X704" s="263"/>
      <c r="Y704" s="263"/>
      <c r="Z704" s="263"/>
      <c r="AA704" s="263"/>
      <c r="AB704" s="263"/>
      <c r="AC704" s="263"/>
      <c r="AD704" s="263"/>
      <c r="AE704" s="263"/>
      <c r="AF704" s="263"/>
      <c r="AG704" s="263"/>
      <c r="AH704" s="263"/>
      <c r="AI704" s="263"/>
      <c r="AJ704" s="263"/>
      <c r="AK704" s="263"/>
    </row>
    <row r="705">
      <c r="L705" s="262"/>
      <c r="Q705" s="262"/>
      <c r="R705" s="262"/>
      <c r="S705" s="262"/>
      <c r="T705" s="262"/>
      <c r="U705" s="262"/>
      <c r="V705" s="262"/>
      <c r="W705" s="263"/>
      <c r="X705" s="263"/>
      <c r="Y705" s="263"/>
      <c r="Z705" s="263"/>
      <c r="AA705" s="263"/>
      <c r="AB705" s="263"/>
      <c r="AC705" s="263"/>
      <c r="AD705" s="263"/>
      <c r="AE705" s="263"/>
      <c r="AF705" s="263"/>
      <c r="AG705" s="263"/>
      <c r="AH705" s="263"/>
      <c r="AI705" s="263"/>
      <c r="AJ705" s="263"/>
      <c r="AK705" s="263"/>
    </row>
    <row r="706">
      <c r="L706" s="262"/>
      <c r="Q706" s="262"/>
      <c r="R706" s="262"/>
      <c r="S706" s="262"/>
      <c r="T706" s="262"/>
      <c r="U706" s="262"/>
      <c r="V706" s="262"/>
      <c r="W706" s="263"/>
      <c r="X706" s="263"/>
      <c r="Y706" s="263"/>
      <c r="Z706" s="263"/>
      <c r="AA706" s="263"/>
      <c r="AB706" s="263"/>
      <c r="AC706" s="263"/>
      <c r="AD706" s="263"/>
      <c r="AE706" s="263"/>
      <c r="AF706" s="263"/>
      <c r="AG706" s="263"/>
      <c r="AH706" s="263"/>
      <c r="AI706" s="263"/>
      <c r="AJ706" s="263"/>
      <c r="AK706" s="263"/>
    </row>
    <row r="707">
      <c r="L707" s="262"/>
      <c r="Q707" s="262"/>
      <c r="R707" s="262"/>
      <c r="S707" s="262"/>
      <c r="T707" s="262"/>
      <c r="U707" s="262"/>
      <c r="V707" s="262"/>
      <c r="W707" s="263"/>
      <c r="X707" s="263"/>
      <c r="Y707" s="263"/>
      <c r="Z707" s="263"/>
      <c r="AA707" s="263"/>
      <c r="AB707" s="263"/>
      <c r="AC707" s="263"/>
      <c r="AD707" s="263"/>
      <c r="AE707" s="263"/>
      <c r="AF707" s="263"/>
      <c r="AG707" s="263"/>
      <c r="AH707" s="263"/>
      <c r="AI707" s="263"/>
      <c r="AJ707" s="263"/>
      <c r="AK707" s="263"/>
    </row>
    <row r="708">
      <c r="L708" s="262"/>
      <c r="Q708" s="262"/>
      <c r="R708" s="262"/>
      <c r="S708" s="262"/>
      <c r="T708" s="262"/>
      <c r="U708" s="262"/>
      <c r="V708" s="262"/>
      <c r="W708" s="263"/>
      <c r="X708" s="263"/>
      <c r="Y708" s="263"/>
      <c r="Z708" s="263"/>
      <c r="AA708" s="263"/>
      <c r="AB708" s="263"/>
      <c r="AC708" s="263"/>
      <c r="AD708" s="263"/>
      <c r="AE708" s="263"/>
      <c r="AF708" s="263"/>
      <c r="AG708" s="263"/>
      <c r="AH708" s="263"/>
      <c r="AI708" s="263"/>
      <c r="AJ708" s="263"/>
      <c r="AK708" s="263"/>
    </row>
    <row r="709">
      <c r="L709" s="262"/>
      <c r="Q709" s="262"/>
      <c r="R709" s="262"/>
      <c r="S709" s="262"/>
      <c r="T709" s="262"/>
      <c r="U709" s="262"/>
      <c r="V709" s="262"/>
      <c r="W709" s="263"/>
      <c r="X709" s="263"/>
      <c r="Y709" s="263"/>
      <c r="Z709" s="263"/>
      <c r="AA709" s="263"/>
      <c r="AB709" s="263"/>
      <c r="AC709" s="263"/>
      <c r="AD709" s="263"/>
      <c r="AE709" s="263"/>
      <c r="AF709" s="263"/>
      <c r="AG709" s="263"/>
      <c r="AH709" s="263"/>
      <c r="AI709" s="263"/>
      <c r="AJ709" s="263"/>
      <c r="AK709" s="263"/>
    </row>
    <row r="710">
      <c r="L710" s="262"/>
      <c r="Q710" s="262"/>
      <c r="R710" s="262"/>
      <c r="S710" s="262"/>
      <c r="T710" s="262"/>
      <c r="U710" s="262"/>
      <c r="V710" s="262"/>
      <c r="W710" s="263"/>
      <c r="X710" s="263"/>
      <c r="Y710" s="263"/>
      <c r="Z710" s="263"/>
      <c r="AA710" s="263"/>
      <c r="AB710" s="263"/>
      <c r="AC710" s="263"/>
      <c r="AD710" s="263"/>
      <c r="AE710" s="263"/>
      <c r="AF710" s="263"/>
      <c r="AG710" s="263"/>
      <c r="AH710" s="263"/>
      <c r="AI710" s="263"/>
      <c r="AJ710" s="263"/>
      <c r="AK710" s="263"/>
    </row>
    <row r="711">
      <c r="L711" s="262"/>
      <c r="Q711" s="262"/>
      <c r="R711" s="262"/>
      <c r="S711" s="262"/>
      <c r="T711" s="262"/>
      <c r="U711" s="262"/>
      <c r="V711" s="262"/>
      <c r="W711" s="263"/>
      <c r="X711" s="263"/>
      <c r="Y711" s="263"/>
      <c r="Z711" s="263"/>
      <c r="AA711" s="263"/>
      <c r="AB711" s="263"/>
      <c r="AC711" s="263"/>
      <c r="AD711" s="263"/>
      <c r="AE711" s="263"/>
      <c r="AF711" s="263"/>
      <c r="AG711" s="263"/>
      <c r="AH711" s="263"/>
      <c r="AI711" s="263"/>
      <c r="AJ711" s="263"/>
      <c r="AK711" s="263"/>
    </row>
    <row r="712">
      <c r="L712" s="262"/>
      <c r="Q712" s="262"/>
      <c r="R712" s="262"/>
      <c r="S712" s="262"/>
      <c r="T712" s="262"/>
      <c r="U712" s="262"/>
      <c r="V712" s="262"/>
      <c r="W712" s="263"/>
      <c r="X712" s="263"/>
      <c r="Y712" s="263"/>
      <c r="Z712" s="263"/>
      <c r="AA712" s="263"/>
      <c r="AB712" s="263"/>
      <c r="AC712" s="263"/>
      <c r="AD712" s="263"/>
      <c r="AE712" s="263"/>
      <c r="AF712" s="263"/>
      <c r="AG712" s="263"/>
      <c r="AH712" s="263"/>
      <c r="AI712" s="263"/>
      <c r="AJ712" s="263"/>
      <c r="AK712" s="263"/>
    </row>
    <row r="713">
      <c r="L713" s="262"/>
      <c r="Q713" s="262"/>
      <c r="R713" s="262"/>
      <c r="S713" s="262"/>
      <c r="T713" s="262"/>
      <c r="U713" s="262"/>
      <c r="V713" s="262"/>
      <c r="W713" s="263"/>
      <c r="X713" s="263"/>
      <c r="Y713" s="263"/>
      <c r="Z713" s="263"/>
      <c r="AA713" s="263"/>
      <c r="AB713" s="263"/>
      <c r="AC713" s="263"/>
      <c r="AD713" s="263"/>
      <c r="AE713" s="263"/>
      <c r="AF713" s="263"/>
      <c r="AG713" s="263"/>
      <c r="AH713" s="263"/>
      <c r="AI713" s="263"/>
      <c r="AJ713" s="263"/>
      <c r="AK713" s="263"/>
    </row>
    <row r="714">
      <c r="L714" s="262"/>
      <c r="Q714" s="262"/>
      <c r="R714" s="262"/>
      <c r="S714" s="262"/>
      <c r="T714" s="262"/>
      <c r="U714" s="262"/>
      <c r="V714" s="262"/>
      <c r="W714" s="263"/>
      <c r="X714" s="263"/>
      <c r="Y714" s="263"/>
      <c r="Z714" s="263"/>
      <c r="AA714" s="263"/>
      <c r="AB714" s="263"/>
      <c r="AC714" s="263"/>
      <c r="AD714" s="263"/>
      <c r="AE714" s="263"/>
      <c r="AF714" s="263"/>
      <c r="AG714" s="263"/>
      <c r="AH714" s="263"/>
      <c r="AI714" s="263"/>
      <c r="AJ714" s="263"/>
      <c r="AK714" s="263"/>
    </row>
    <row r="715">
      <c r="L715" s="262"/>
      <c r="Q715" s="262"/>
      <c r="R715" s="262"/>
      <c r="S715" s="262"/>
      <c r="T715" s="262"/>
      <c r="U715" s="262"/>
      <c r="V715" s="262"/>
      <c r="W715" s="263"/>
      <c r="X715" s="263"/>
      <c r="Y715" s="263"/>
      <c r="Z715" s="263"/>
      <c r="AA715" s="263"/>
      <c r="AB715" s="263"/>
      <c r="AC715" s="263"/>
      <c r="AD715" s="263"/>
      <c r="AE715" s="263"/>
      <c r="AF715" s="263"/>
      <c r="AG715" s="263"/>
      <c r="AH715" s="263"/>
      <c r="AI715" s="263"/>
      <c r="AJ715" s="263"/>
      <c r="AK715" s="263"/>
    </row>
    <row r="716">
      <c r="L716" s="262"/>
      <c r="Q716" s="262"/>
      <c r="R716" s="262"/>
      <c r="S716" s="262"/>
      <c r="T716" s="262"/>
      <c r="U716" s="262"/>
      <c r="V716" s="262"/>
      <c r="W716" s="263"/>
      <c r="X716" s="263"/>
      <c r="Y716" s="263"/>
      <c r="Z716" s="263"/>
      <c r="AA716" s="263"/>
      <c r="AB716" s="263"/>
      <c r="AC716" s="263"/>
      <c r="AD716" s="263"/>
      <c r="AE716" s="263"/>
      <c r="AF716" s="263"/>
      <c r="AG716" s="263"/>
      <c r="AH716" s="263"/>
      <c r="AI716" s="263"/>
      <c r="AJ716" s="263"/>
      <c r="AK716" s="263"/>
    </row>
    <row r="717">
      <c r="L717" s="262"/>
      <c r="Q717" s="262"/>
      <c r="R717" s="262"/>
      <c r="S717" s="262"/>
      <c r="T717" s="262"/>
      <c r="U717" s="262"/>
      <c r="V717" s="262"/>
      <c r="W717" s="263"/>
      <c r="X717" s="263"/>
      <c r="Y717" s="263"/>
      <c r="Z717" s="263"/>
      <c r="AA717" s="263"/>
      <c r="AB717" s="263"/>
      <c r="AC717" s="263"/>
      <c r="AD717" s="263"/>
      <c r="AE717" s="263"/>
      <c r="AF717" s="263"/>
      <c r="AG717" s="263"/>
      <c r="AH717" s="263"/>
      <c r="AI717" s="263"/>
      <c r="AJ717" s="263"/>
      <c r="AK717" s="263"/>
    </row>
    <row r="718">
      <c r="L718" s="262"/>
      <c r="Q718" s="262"/>
      <c r="R718" s="262"/>
      <c r="S718" s="262"/>
      <c r="T718" s="262"/>
      <c r="U718" s="262"/>
      <c r="V718" s="262"/>
      <c r="W718" s="263"/>
      <c r="X718" s="263"/>
      <c r="Y718" s="263"/>
      <c r="Z718" s="263"/>
      <c r="AA718" s="263"/>
      <c r="AB718" s="263"/>
      <c r="AC718" s="263"/>
      <c r="AD718" s="263"/>
      <c r="AE718" s="263"/>
      <c r="AF718" s="263"/>
      <c r="AG718" s="263"/>
      <c r="AH718" s="263"/>
      <c r="AI718" s="263"/>
      <c r="AJ718" s="263"/>
      <c r="AK718" s="263"/>
    </row>
    <row r="719">
      <c r="L719" s="262"/>
      <c r="Q719" s="262"/>
      <c r="R719" s="262"/>
      <c r="S719" s="262"/>
      <c r="T719" s="262"/>
      <c r="U719" s="262"/>
      <c r="V719" s="262"/>
      <c r="W719" s="263"/>
      <c r="X719" s="263"/>
      <c r="Y719" s="263"/>
      <c r="Z719" s="263"/>
      <c r="AA719" s="263"/>
      <c r="AB719" s="263"/>
      <c r="AC719" s="263"/>
      <c r="AD719" s="263"/>
      <c r="AE719" s="263"/>
      <c r="AF719" s="263"/>
      <c r="AG719" s="263"/>
      <c r="AH719" s="263"/>
      <c r="AI719" s="263"/>
      <c r="AJ719" s="263"/>
      <c r="AK719" s="263"/>
    </row>
    <row r="720">
      <c r="L720" s="262"/>
      <c r="Q720" s="262"/>
      <c r="R720" s="262"/>
      <c r="S720" s="262"/>
      <c r="T720" s="262"/>
      <c r="U720" s="262"/>
      <c r="V720" s="262"/>
      <c r="W720" s="263"/>
      <c r="X720" s="263"/>
      <c r="Y720" s="263"/>
      <c r="Z720" s="263"/>
      <c r="AA720" s="263"/>
      <c r="AB720" s="263"/>
      <c r="AC720" s="263"/>
      <c r="AD720" s="263"/>
      <c r="AE720" s="263"/>
      <c r="AF720" s="263"/>
      <c r="AG720" s="263"/>
      <c r="AH720" s="263"/>
      <c r="AI720" s="263"/>
      <c r="AJ720" s="263"/>
      <c r="AK720" s="263"/>
    </row>
    <row r="721">
      <c r="L721" s="262"/>
      <c r="Q721" s="262"/>
      <c r="R721" s="262"/>
      <c r="S721" s="262"/>
      <c r="T721" s="262"/>
      <c r="U721" s="262"/>
      <c r="V721" s="262"/>
      <c r="W721" s="263"/>
      <c r="X721" s="263"/>
      <c r="Y721" s="263"/>
      <c r="Z721" s="263"/>
      <c r="AA721" s="263"/>
      <c r="AB721" s="263"/>
      <c r="AC721" s="263"/>
      <c r="AD721" s="263"/>
      <c r="AE721" s="263"/>
      <c r="AF721" s="263"/>
      <c r="AG721" s="263"/>
      <c r="AH721" s="263"/>
      <c r="AI721" s="263"/>
      <c r="AJ721" s="263"/>
      <c r="AK721" s="263"/>
    </row>
    <row r="722">
      <c r="L722" s="262"/>
      <c r="Q722" s="262"/>
      <c r="R722" s="262"/>
      <c r="S722" s="262"/>
      <c r="T722" s="262"/>
      <c r="U722" s="262"/>
      <c r="V722" s="262"/>
      <c r="W722" s="263"/>
      <c r="X722" s="263"/>
      <c r="Y722" s="263"/>
      <c r="Z722" s="263"/>
      <c r="AA722" s="263"/>
      <c r="AB722" s="263"/>
      <c r="AC722" s="263"/>
      <c r="AD722" s="263"/>
      <c r="AE722" s="263"/>
      <c r="AF722" s="263"/>
      <c r="AG722" s="263"/>
      <c r="AH722" s="263"/>
      <c r="AI722" s="263"/>
      <c r="AJ722" s="263"/>
      <c r="AK722" s="263"/>
    </row>
    <row r="723">
      <c r="L723" s="262"/>
      <c r="Q723" s="262"/>
      <c r="R723" s="262"/>
      <c r="S723" s="262"/>
      <c r="T723" s="262"/>
      <c r="U723" s="262"/>
      <c r="V723" s="262"/>
      <c r="W723" s="263"/>
      <c r="X723" s="263"/>
      <c r="Y723" s="263"/>
      <c r="Z723" s="263"/>
      <c r="AA723" s="263"/>
      <c r="AB723" s="263"/>
      <c r="AC723" s="263"/>
      <c r="AD723" s="263"/>
      <c r="AE723" s="263"/>
      <c r="AF723" s="263"/>
      <c r="AG723" s="263"/>
      <c r="AH723" s="263"/>
      <c r="AI723" s="263"/>
      <c r="AJ723" s="263"/>
      <c r="AK723" s="263"/>
    </row>
    <row r="724">
      <c r="L724" s="262"/>
      <c r="Q724" s="262"/>
      <c r="R724" s="262"/>
      <c r="S724" s="262"/>
      <c r="T724" s="262"/>
      <c r="U724" s="262"/>
      <c r="V724" s="262"/>
      <c r="W724" s="263"/>
      <c r="X724" s="263"/>
      <c r="Y724" s="263"/>
      <c r="Z724" s="263"/>
      <c r="AA724" s="263"/>
      <c r="AB724" s="263"/>
      <c r="AC724" s="263"/>
      <c r="AD724" s="263"/>
      <c r="AE724" s="263"/>
      <c r="AF724" s="263"/>
      <c r="AG724" s="263"/>
      <c r="AH724" s="263"/>
      <c r="AI724" s="263"/>
      <c r="AJ724" s="263"/>
      <c r="AK724" s="263"/>
    </row>
    <row r="725">
      <c r="L725" s="262"/>
      <c r="Q725" s="262"/>
      <c r="R725" s="262"/>
      <c r="S725" s="262"/>
      <c r="T725" s="262"/>
      <c r="U725" s="262"/>
      <c r="V725" s="262"/>
      <c r="W725" s="263"/>
      <c r="X725" s="263"/>
      <c r="Y725" s="263"/>
      <c r="Z725" s="263"/>
      <c r="AA725" s="263"/>
      <c r="AB725" s="263"/>
      <c r="AC725" s="263"/>
      <c r="AD725" s="263"/>
      <c r="AE725" s="263"/>
      <c r="AF725" s="263"/>
      <c r="AG725" s="263"/>
      <c r="AH725" s="263"/>
      <c r="AI725" s="263"/>
      <c r="AJ725" s="263"/>
      <c r="AK725" s="263"/>
    </row>
    <row r="726">
      <c r="L726" s="262"/>
      <c r="Q726" s="262"/>
      <c r="R726" s="262"/>
      <c r="S726" s="262"/>
      <c r="T726" s="262"/>
      <c r="U726" s="262"/>
      <c r="V726" s="262"/>
      <c r="W726" s="263"/>
      <c r="X726" s="263"/>
      <c r="Y726" s="263"/>
      <c r="Z726" s="263"/>
      <c r="AA726" s="263"/>
      <c r="AB726" s="263"/>
      <c r="AC726" s="263"/>
      <c r="AD726" s="263"/>
      <c r="AE726" s="263"/>
      <c r="AF726" s="263"/>
      <c r="AG726" s="263"/>
      <c r="AH726" s="263"/>
      <c r="AI726" s="263"/>
      <c r="AJ726" s="263"/>
      <c r="AK726" s="263"/>
    </row>
    <row r="727">
      <c r="L727" s="262"/>
      <c r="Q727" s="262"/>
      <c r="R727" s="262"/>
      <c r="S727" s="262"/>
      <c r="T727" s="262"/>
      <c r="U727" s="262"/>
      <c r="V727" s="262"/>
      <c r="W727" s="263"/>
      <c r="X727" s="263"/>
      <c r="Y727" s="263"/>
      <c r="Z727" s="263"/>
      <c r="AA727" s="263"/>
      <c r="AB727" s="263"/>
      <c r="AC727" s="263"/>
      <c r="AD727" s="263"/>
      <c r="AE727" s="263"/>
      <c r="AF727" s="263"/>
      <c r="AG727" s="263"/>
      <c r="AH727" s="263"/>
      <c r="AI727" s="263"/>
      <c r="AJ727" s="263"/>
      <c r="AK727" s="263"/>
    </row>
    <row r="728">
      <c r="L728" s="262"/>
      <c r="Q728" s="262"/>
      <c r="R728" s="262"/>
      <c r="S728" s="262"/>
      <c r="T728" s="262"/>
      <c r="U728" s="262"/>
      <c r="V728" s="262"/>
      <c r="W728" s="263"/>
      <c r="X728" s="263"/>
      <c r="Y728" s="263"/>
      <c r="Z728" s="263"/>
      <c r="AA728" s="263"/>
      <c r="AB728" s="263"/>
      <c r="AC728" s="263"/>
      <c r="AD728" s="263"/>
      <c r="AE728" s="263"/>
      <c r="AF728" s="263"/>
      <c r="AG728" s="263"/>
      <c r="AH728" s="263"/>
      <c r="AI728" s="263"/>
      <c r="AJ728" s="263"/>
      <c r="AK728" s="263"/>
    </row>
    <row r="729">
      <c r="L729" s="262"/>
      <c r="Q729" s="262"/>
      <c r="R729" s="262"/>
      <c r="S729" s="262"/>
      <c r="T729" s="262"/>
      <c r="U729" s="262"/>
      <c r="V729" s="262"/>
      <c r="W729" s="263"/>
      <c r="X729" s="263"/>
      <c r="Y729" s="263"/>
      <c r="Z729" s="263"/>
      <c r="AA729" s="263"/>
      <c r="AB729" s="263"/>
      <c r="AC729" s="263"/>
      <c r="AD729" s="263"/>
      <c r="AE729" s="263"/>
      <c r="AF729" s="263"/>
      <c r="AG729" s="263"/>
      <c r="AH729" s="263"/>
      <c r="AI729" s="263"/>
      <c r="AJ729" s="263"/>
      <c r="AK729" s="263"/>
    </row>
    <row r="730">
      <c r="L730" s="262"/>
      <c r="Q730" s="262"/>
      <c r="R730" s="262"/>
      <c r="S730" s="262"/>
      <c r="T730" s="262"/>
      <c r="U730" s="262"/>
      <c r="V730" s="262"/>
      <c r="W730" s="263"/>
      <c r="X730" s="263"/>
      <c r="Y730" s="263"/>
      <c r="Z730" s="263"/>
      <c r="AA730" s="263"/>
      <c r="AB730" s="263"/>
      <c r="AC730" s="263"/>
      <c r="AD730" s="263"/>
      <c r="AE730" s="263"/>
      <c r="AF730" s="263"/>
      <c r="AG730" s="263"/>
      <c r="AH730" s="263"/>
      <c r="AI730" s="263"/>
      <c r="AJ730" s="263"/>
      <c r="AK730" s="263"/>
    </row>
    <row r="731">
      <c r="L731" s="262"/>
      <c r="Q731" s="262"/>
      <c r="R731" s="262"/>
      <c r="S731" s="262"/>
      <c r="T731" s="262"/>
      <c r="U731" s="262"/>
      <c r="V731" s="262"/>
      <c r="W731" s="263"/>
      <c r="X731" s="263"/>
      <c r="Y731" s="263"/>
      <c r="Z731" s="263"/>
      <c r="AA731" s="263"/>
      <c r="AB731" s="263"/>
      <c r="AC731" s="263"/>
      <c r="AD731" s="263"/>
      <c r="AE731" s="263"/>
      <c r="AF731" s="263"/>
      <c r="AG731" s="263"/>
      <c r="AH731" s="263"/>
      <c r="AI731" s="263"/>
      <c r="AJ731" s="263"/>
      <c r="AK731" s="263"/>
    </row>
    <row r="732">
      <c r="L732" s="262"/>
      <c r="Q732" s="262"/>
      <c r="R732" s="262"/>
      <c r="S732" s="262"/>
      <c r="T732" s="262"/>
      <c r="U732" s="262"/>
      <c r="V732" s="262"/>
      <c r="W732" s="263"/>
      <c r="X732" s="263"/>
      <c r="Y732" s="263"/>
      <c r="Z732" s="263"/>
      <c r="AA732" s="263"/>
      <c r="AB732" s="263"/>
      <c r="AC732" s="263"/>
      <c r="AD732" s="263"/>
      <c r="AE732" s="263"/>
      <c r="AF732" s="263"/>
      <c r="AG732" s="263"/>
      <c r="AH732" s="263"/>
      <c r="AI732" s="263"/>
      <c r="AJ732" s="263"/>
      <c r="AK732" s="263"/>
    </row>
    <row r="733">
      <c r="L733" s="262"/>
      <c r="Q733" s="262"/>
      <c r="R733" s="262"/>
      <c r="S733" s="262"/>
      <c r="T733" s="262"/>
      <c r="U733" s="262"/>
      <c r="V733" s="262"/>
      <c r="W733" s="263"/>
      <c r="X733" s="263"/>
      <c r="Y733" s="263"/>
      <c r="Z733" s="263"/>
      <c r="AA733" s="263"/>
      <c r="AB733" s="263"/>
      <c r="AC733" s="263"/>
      <c r="AD733" s="263"/>
      <c r="AE733" s="263"/>
      <c r="AF733" s="263"/>
      <c r="AG733" s="263"/>
      <c r="AH733" s="263"/>
      <c r="AI733" s="263"/>
      <c r="AJ733" s="263"/>
      <c r="AK733" s="263"/>
    </row>
    <row r="734">
      <c r="L734" s="262"/>
      <c r="Q734" s="262"/>
      <c r="R734" s="262"/>
      <c r="S734" s="262"/>
      <c r="T734" s="262"/>
      <c r="U734" s="262"/>
      <c r="V734" s="262"/>
      <c r="W734" s="263"/>
      <c r="X734" s="263"/>
      <c r="Y734" s="263"/>
      <c r="Z734" s="263"/>
      <c r="AA734" s="263"/>
      <c r="AB734" s="263"/>
      <c r="AC734" s="263"/>
      <c r="AD734" s="263"/>
      <c r="AE734" s="263"/>
      <c r="AF734" s="263"/>
      <c r="AG734" s="263"/>
      <c r="AH734" s="263"/>
      <c r="AI734" s="263"/>
      <c r="AJ734" s="263"/>
      <c r="AK734" s="263"/>
    </row>
    <row r="735">
      <c r="L735" s="262"/>
      <c r="Q735" s="262"/>
      <c r="R735" s="262"/>
      <c r="S735" s="262"/>
      <c r="T735" s="262"/>
      <c r="U735" s="262"/>
      <c r="V735" s="262"/>
      <c r="W735" s="263"/>
      <c r="X735" s="263"/>
      <c r="Y735" s="263"/>
      <c r="Z735" s="263"/>
      <c r="AA735" s="263"/>
      <c r="AB735" s="263"/>
      <c r="AC735" s="263"/>
      <c r="AD735" s="263"/>
      <c r="AE735" s="263"/>
      <c r="AF735" s="263"/>
      <c r="AG735" s="263"/>
      <c r="AH735" s="263"/>
      <c r="AI735" s="263"/>
      <c r="AJ735" s="263"/>
      <c r="AK735" s="263"/>
    </row>
    <row r="736">
      <c r="L736" s="262"/>
      <c r="Q736" s="262"/>
      <c r="R736" s="262"/>
      <c r="S736" s="262"/>
      <c r="T736" s="262"/>
      <c r="U736" s="262"/>
      <c r="V736" s="262"/>
      <c r="W736" s="263"/>
      <c r="X736" s="263"/>
      <c r="Y736" s="263"/>
      <c r="Z736" s="263"/>
      <c r="AA736" s="263"/>
      <c r="AB736" s="263"/>
      <c r="AC736" s="263"/>
      <c r="AD736" s="263"/>
      <c r="AE736" s="263"/>
      <c r="AF736" s="263"/>
      <c r="AG736" s="263"/>
      <c r="AH736" s="263"/>
      <c r="AI736" s="263"/>
      <c r="AJ736" s="263"/>
      <c r="AK736" s="263"/>
    </row>
    <row r="737">
      <c r="L737" s="262"/>
      <c r="Q737" s="262"/>
      <c r="R737" s="262"/>
      <c r="S737" s="262"/>
      <c r="T737" s="262"/>
      <c r="U737" s="262"/>
      <c r="V737" s="262"/>
      <c r="W737" s="263"/>
      <c r="X737" s="263"/>
      <c r="Y737" s="263"/>
      <c r="Z737" s="263"/>
      <c r="AA737" s="263"/>
      <c r="AB737" s="263"/>
      <c r="AC737" s="263"/>
      <c r="AD737" s="263"/>
      <c r="AE737" s="263"/>
      <c r="AF737" s="263"/>
      <c r="AG737" s="263"/>
      <c r="AH737" s="263"/>
      <c r="AI737" s="263"/>
      <c r="AJ737" s="263"/>
      <c r="AK737" s="263"/>
    </row>
    <row r="738">
      <c r="L738" s="262"/>
      <c r="Q738" s="262"/>
      <c r="R738" s="262"/>
      <c r="S738" s="262"/>
      <c r="T738" s="262"/>
      <c r="U738" s="262"/>
      <c r="V738" s="262"/>
      <c r="W738" s="263"/>
      <c r="X738" s="263"/>
      <c r="Y738" s="263"/>
      <c r="Z738" s="263"/>
      <c r="AA738" s="263"/>
      <c r="AB738" s="263"/>
      <c r="AC738" s="263"/>
      <c r="AD738" s="263"/>
      <c r="AE738" s="263"/>
      <c r="AF738" s="263"/>
      <c r="AG738" s="263"/>
      <c r="AH738" s="263"/>
      <c r="AI738" s="263"/>
      <c r="AJ738" s="263"/>
      <c r="AK738" s="263"/>
    </row>
    <row r="739">
      <c r="L739" s="262"/>
      <c r="Q739" s="262"/>
      <c r="R739" s="262"/>
      <c r="S739" s="262"/>
      <c r="T739" s="262"/>
      <c r="U739" s="262"/>
      <c r="V739" s="262"/>
      <c r="W739" s="263"/>
      <c r="X739" s="263"/>
      <c r="Y739" s="263"/>
      <c r="Z739" s="263"/>
      <c r="AA739" s="263"/>
      <c r="AB739" s="263"/>
      <c r="AC739" s="263"/>
      <c r="AD739" s="263"/>
      <c r="AE739" s="263"/>
      <c r="AF739" s="263"/>
      <c r="AG739" s="263"/>
      <c r="AH739" s="263"/>
      <c r="AI739" s="263"/>
      <c r="AJ739" s="263"/>
      <c r="AK739" s="263"/>
    </row>
    <row r="740">
      <c r="L740" s="262"/>
      <c r="Q740" s="262"/>
      <c r="R740" s="262"/>
      <c r="S740" s="262"/>
      <c r="T740" s="262"/>
      <c r="U740" s="262"/>
      <c r="V740" s="262"/>
      <c r="W740" s="263"/>
      <c r="X740" s="263"/>
      <c r="Y740" s="263"/>
      <c r="Z740" s="263"/>
      <c r="AA740" s="263"/>
      <c r="AB740" s="263"/>
      <c r="AC740" s="263"/>
      <c r="AD740" s="263"/>
      <c r="AE740" s="263"/>
      <c r="AF740" s="263"/>
      <c r="AG740" s="263"/>
      <c r="AH740" s="263"/>
      <c r="AI740" s="263"/>
      <c r="AJ740" s="263"/>
      <c r="AK740" s="263"/>
    </row>
    <row r="741">
      <c r="L741" s="262"/>
      <c r="Q741" s="262"/>
      <c r="R741" s="262"/>
      <c r="S741" s="262"/>
      <c r="T741" s="262"/>
      <c r="U741" s="262"/>
      <c r="V741" s="262"/>
      <c r="W741" s="263"/>
      <c r="X741" s="263"/>
      <c r="Y741" s="263"/>
      <c r="Z741" s="263"/>
      <c r="AA741" s="263"/>
      <c r="AB741" s="263"/>
      <c r="AC741" s="263"/>
      <c r="AD741" s="263"/>
      <c r="AE741" s="263"/>
      <c r="AF741" s="263"/>
      <c r="AG741" s="263"/>
      <c r="AH741" s="263"/>
      <c r="AI741" s="263"/>
      <c r="AJ741" s="263"/>
      <c r="AK741" s="263"/>
    </row>
    <row r="742">
      <c r="L742" s="262"/>
      <c r="Q742" s="262"/>
      <c r="R742" s="262"/>
      <c r="S742" s="262"/>
      <c r="T742" s="262"/>
      <c r="U742" s="262"/>
      <c r="V742" s="262"/>
      <c r="W742" s="263"/>
      <c r="X742" s="263"/>
      <c r="Y742" s="263"/>
      <c r="Z742" s="263"/>
      <c r="AA742" s="263"/>
      <c r="AB742" s="263"/>
      <c r="AC742" s="263"/>
      <c r="AD742" s="263"/>
      <c r="AE742" s="263"/>
      <c r="AF742" s="263"/>
      <c r="AG742" s="263"/>
      <c r="AH742" s="263"/>
      <c r="AI742" s="263"/>
      <c r="AJ742" s="263"/>
      <c r="AK742" s="263"/>
    </row>
    <row r="743">
      <c r="L743" s="262"/>
      <c r="Q743" s="262"/>
      <c r="R743" s="262"/>
      <c r="S743" s="262"/>
      <c r="T743" s="262"/>
      <c r="U743" s="262"/>
      <c r="V743" s="262"/>
      <c r="W743" s="263"/>
      <c r="X743" s="263"/>
      <c r="Y743" s="263"/>
      <c r="Z743" s="263"/>
      <c r="AA743" s="263"/>
      <c r="AB743" s="263"/>
      <c r="AC743" s="263"/>
      <c r="AD743" s="263"/>
      <c r="AE743" s="263"/>
      <c r="AF743" s="263"/>
      <c r="AG743" s="263"/>
      <c r="AH743" s="263"/>
      <c r="AI743" s="263"/>
      <c r="AJ743" s="263"/>
      <c r="AK743" s="263"/>
    </row>
    <row r="744">
      <c r="L744" s="262"/>
      <c r="Q744" s="262"/>
      <c r="R744" s="262"/>
      <c r="S744" s="262"/>
      <c r="T744" s="262"/>
      <c r="U744" s="262"/>
      <c r="V744" s="262"/>
      <c r="W744" s="263"/>
      <c r="X744" s="263"/>
      <c r="Y744" s="263"/>
      <c r="Z744" s="263"/>
      <c r="AA744" s="263"/>
      <c r="AB744" s="263"/>
      <c r="AC744" s="263"/>
      <c r="AD744" s="263"/>
      <c r="AE744" s="263"/>
      <c r="AF744" s="263"/>
      <c r="AG744" s="263"/>
      <c r="AH744" s="263"/>
      <c r="AI744" s="263"/>
      <c r="AJ744" s="263"/>
      <c r="AK744" s="263"/>
    </row>
    <row r="745">
      <c r="L745" s="262"/>
      <c r="Q745" s="262"/>
      <c r="R745" s="262"/>
      <c r="S745" s="262"/>
      <c r="T745" s="262"/>
      <c r="U745" s="262"/>
      <c r="V745" s="262"/>
      <c r="W745" s="263"/>
      <c r="X745" s="263"/>
      <c r="Y745" s="263"/>
      <c r="Z745" s="263"/>
      <c r="AA745" s="263"/>
      <c r="AB745" s="263"/>
      <c r="AC745" s="263"/>
      <c r="AD745" s="263"/>
      <c r="AE745" s="263"/>
      <c r="AF745" s="263"/>
      <c r="AG745" s="263"/>
      <c r="AH745" s="263"/>
      <c r="AI745" s="263"/>
      <c r="AJ745" s="263"/>
      <c r="AK745" s="263"/>
    </row>
    <row r="746">
      <c r="L746" s="262"/>
      <c r="Q746" s="262"/>
      <c r="R746" s="262"/>
      <c r="S746" s="262"/>
      <c r="T746" s="262"/>
      <c r="U746" s="262"/>
      <c r="V746" s="262"/>
      <c r="W746" s="263"/>
      <c r="X746" s="263"/>
      <c r="Y746" s="263"/>
      <c r="Z746" s="263"/>
      <c r="AA746" s="263"/>
      <c r="AB746" s="263"/>
      <c r="AC746" s="263"/>
      <c r="AD746" s="263"/>
      <c r="AE746" s="263"/>
      <c r="AF746" s="263"/>
      <c r="AG746" s="263"/>
      <c r="AH746" s="263"/>
      <c r="AI746" s="263"/>
      <c r="AJ746" s="263"/>
      <c r="AK746" s="263"/>
    </row>
    <row r="747">
      <c r="L747" s="262"/>
      <c r="Q747" s="262"/>
      <c r="R747" s="262"/>
      <c r="S747" s="262"/>
      <c r="T747" s="262"/>
      <c r="U747" s="262"/>
      <c r="V747" s="262"/>
      <c r="W747" s="263"/>
      <c r="X747" s="263"/>
      <c r="Y747" s="263"/>
      <c r="Z747" s="263"/>
      <c r="AA747" s="263"/>
      <c r="AB747" s="263"/>
      <c r="AC747" s="263"/>
      <c r="AD747" s="263"/>
      <c r="AE747" s="263"/>
      <c r="AF747" s="263"/>
      <c r="AG747" s="263"/>
      <c r="AH747" s="263"/>
      <c r="AI747" s="263"/>
      <c r="AJ747" s="263"/>
      <c r="AK747" s="263"/>
    </row>
    <row r="748">
      <c r="L748" s="262"/>
      <c r="Q748" s="262"/>
      <c r="R748" s="262"/>
      <c r="S748" s="262"/>
      <c r="T748" s="262"/>
      <c r="U748" s="262"/>
      <c r="V748" s="262"/>
      <c r="W748" s="263"/>
      <c r="X748" s="263"/>
      <c r="Y748" s="263"/>
      <c r="Z748" s="263"/>
      <c r="AA748" s="263"/>
      <c r="AB748" s="263"/>
      <c r="AC748" s="263"/>
      <c r="AD748" s="263"/>
      <c r="AE748" s="263"/>
      <c r="AF748" s="263"/>
      <c r="AG748" s="263"/>
      <c r="AH748" s="263"/>
      <c r="AI748" s="263"/>
      <c r="AJ748" s="263"/>
      <c r="AK748" s="263"/>
    </row>
    <row r="749">
      <c r="L749" s="262"/>
      <c r="Q749" s="262"/>
      <c r="R749" s="262"/>
      <c r="S749" s="262"/>
      <c r="T749" s="262"/>
      <c r="U749" s="262"/>
      <c r="V749" s="262"/>
      <c r="W749" s="263"/>
      <c r="X749" s="263"/>
      <c r="Y749" s="263"/>
      <c r="Z749" s="263"/>
      <c r="AA749" s="263"/>
      <c r="AB749" s="263"/>
      <c r="AC749" s="263"/>
      <c r="AD749" s="263"/>
      <c r="AE749" s="263"/>
      <c r="AF749" s="263"/>
      <c r="AG749" s="263"/>
      <c r="AH749" s="263"/>
      <c r="AI749" s="263"/>
      <c r="AJ749" s="263"/>
      <c r="AK749" s="263"/>
    </row>
    <row r="750">
      <c r="L750" s="262"/>
      <c r="Q750" s="262"/>
      <c r="R750" s="262"/>
      <c r="S750" s="262"/>
      <c r="T750" s="262"/>
      <c r="U750" s="262"/>
      <c r="V750" s="262"/>
      <c r="W750" s="263"/>
      <c r="X750" s="263"/>
      <c r="Y750" s="263"/>
      <c r="Z750" s="263"/>
      <c r="AA750" s="263"/>
      <c r="AB750" s="263"/>
      <c r="AC750" s="263"/>
      <c r="AD750" s="263"/>
      <c r="AE750" s="263"/>
      <c r="AF750" s="263"/>
      <c r="AG750" s="263"/>
      <c r="AH750" s="263"/>
      <c r="AI750" s="263"/>
      <c r="AJ750" s="263"/>
      <c r="AK750" s="263"/>
    </row>
    <row r="751">
      <c r="L751" s="262"/>
      <c r="Q751" s="262"/>
      <c r="R751" s="262"/>
      <c r="S751" s="262"/>
      <c r="T751" s="262"/>
      <c r="U751" s="262"/>
      <c r="V751" s="262"/>
      <c r="W751" s="263"/>
      <c r="X751" s="263"/>
      <c r="Y751" s="263"/>
      <c r="Z751" s="263"/>
      <c r="AA751" s="263"/>
      <c r="AB751" s="263"/>
      <c r="AC751" s="263"/>
      <c r="AD751" s="263"/>
      <c r="AE751" s="263"/>
      <c r="AF751" s="263"/>
      <c r="AG751" s="263"/>
      <c r="AH751" s="263"/>
      <c r="AI751" s="263"/>
      <c r="AJ751" s="263"/>
      <c r="AK751" s="263"/>
    </row>
    <row r="752">
      <c r="L752" s="262"/>
      <c r="Q752" s="262"/>
      <c r="R752" s="262"/>
      <c r="S752" s="262"/>
      <c r="T752" s="262"/>
      <c r="U752" s="262"/>
      <c r="V752" s="262"/>
      <c r="W752" s="263"/>
      <c r="X752" s="263"/>
      <c r="Y752" s="263"/>
      <c r="Z752" s="263"/>
      <c r="AA752" s="263"/>
      <c r="AB752" s="263"/>
      <c r="AC752" s="263"/>
      <c r="AD752" s="263"/>
      <c r="AE752" s="263"/>
      <c r="AF752" s="263"/>
      <c r="AG752" s="263"/>
      <c r="AH752" s="263"/>
      <c r="AI752" s="263"/>
      <c r="AJ752" s="263"/>
      <c r="AK752" s="263"/>
    </row>
    <row r="753">
      <c r="L753" s="262"/>
      <c r="Q753" s="262"/>
      <c r="R753" s="262"/>
      <c r="S753" s="262"/>
      <c r="T753" s="262"/>
      <c r="U753" s="262"/>
      <c r="V753" s="262"/>
      <c r="W753" s="263"/>
      <c r="X753" s="263"/>
      <c r="Y753" s="263"/>
      <c r="Z753" s="263"/>
      <c r="AA753" s="263"/>
      <c r="AB753" s="263"/>
      <c r="AC753" s="263"/>
      <c r="AD753" s="263"/>
      <c r="AE753" s="263"/>
      <c r="AF753" s="263"/>
      <c r="AG753" s="263"/>
      <c r="AH753" s="263"/>
      <c r="AI753" s="263"/>
      <c r="AJ753" s="263"/>
      <c r="AK753" s="263"/>
    </row>
    <row r="754">
      <c r="L754" s="262"/>
      <c r="Q754" s="262"/>
      <c r="R754" s="262"/>
      <c r="S754" s="262"/>
      <c r="T754" s="262"/>
      <c r="U754" s="262"/>
      <c r="V754" s="262"/>
      <c r="W754" s="263"/>
      <c r="X754" s="263"/>
      <c r="Y754" s="263"/>
      <c r="Z754" s="263"/>
      <c r="AA754" s="263"/>
      <c r="AB754" s="263"/>
      <c r="AC754" s="263"/>
      <c r="AD754" s="263"/>
      <c r="AE754" s="263"/>
      <c r="AF754" s="263"/>
      <c r="AG754" s="263"/>
      <c r="AH754" s="263"/>
      <c r="AI754" s="263"/>
      <c r="AJ754" s="263"/>
      <c r="AK754" s="263"/>
    </row>
    <row r="755">
      <c r="L755" s="262"/>
      <c r="Q755" s="262"/>
      <c r="R755" s="262"/>
      <c r="S755" s="262"/>
      <c r="T755" s="262"/>
      <c r="U755" s="262"/>
      <c r="V755" s="262"/>
      <c r="W755" s="263"/>
      <c r="X755" s="263"/>
      <c r="Y755" s="263"/>
      <c r="Z755" s="263"/>
      <c r="AA755" s="263"/>
      <c r="AB755" s="263"/>
      <c r="AC755" s="263"/>
      <c r="AD755" s="263"/>
      <c r="AE755" s="263"/>
      <c r="AF755" s="263"/>
      <c r="AG755" s="263"/>
      <c r="AH755" s="263"/>
      <c r="AI755" s="263"/>
      <c r="AJ755" s="263"/>
      <c r="AK755" s="263"/>
    </row>
    <row r="756">
      <c r="L756" s="262"/>
      <c r="Q756" s="262"/>
      <c r="R756" s="262"/>
      <c r="S756" s="262"/>
      <c r="T756" s="262"/>
      <c r="U756" s="262"/>
      <c r="V756" s="262"/>
      <c r="W756" s="263"/>
      <c r="X756" s="263"/>
      <c r="Y756" s="263"/>
      <c r="Z756" s="263"/>
      <c r="AA756" s="263"/>
      <c r="AB756" s="263"/>
      <c r="AC756" s="263"/>
      <c r="AD756" s="263"/>
      <c r="AE756" s="263"/>
      <c r="AF756" s="263"/>
      <c r="AG756" s="263"/>
      <c r="AH756" s="263"/>
      <c r="AI756" s="263"/>
      <c r="AJ756" s="263"/>
      <c r="AK756" s="263"/>
    </row>
    <row r="757">
      <c r="L757" s="262"/>
      <c r="Q757" s="262"/>
      <c r="R757" s="262"/>
      <c r="S757" s="262"/>
      <c r="T757" s="262"/>
      <c r="U757" s="262"/>
      <c r="V757" s="262"/>
      <c r="W757" s="263"/>
      <c r="X757" s="263"/>
      <c r="Y757" s="263"/>
      <c r="Z757" s="263"/>
      <c r="AA757" s="263"/>
      <c r="AB757" s="263"/>
      <c r="AC757" s="263"/>
      <c r="AD757" s="263"/>
      <c r="AE757" s="263"/>
      <c r="AF757" s="263"/>
      <c r="AG757" s="263"/>
      <c r="AH757" s="263"/>
      <c r="AI757" s="263"/>
      <c r="AJ757" s="263"/>
      <c r="AK757" s="263"/>
    </row>
    <row r="758">
      <c r="L758" s="262"/>
      <c r="Q758" s="262"/>
      <c r="R758" s="262"/>
      <c r="S758" s="262"/>
      <c r="T758" s="262"/>
      <c r="U758" s="262"/>
      <c r="V758" s="262"/>
      <c r="W758" s="263"/>
      <c r="X758" s="263"/>
      <c r="Y758" s="263"/>
      <c r="Z758" s="263"/>
      <c r="AA758" s="263"/>
      <c r="AB758" s="263"/>
      <c r="AC758" s="263"/>
      <c r="AD758" s="263"/>
      <c r="AE758" s="263"/>
      <c r="AF758" s="263"/>
      <c r="AG758" s="263"/>
      <c r="AH758" s="263"/>
      <c r="AI758" s="263"/>
      <c r="AJ758" s="263"/>
      <c r="AK758" s="263"/>
    </row>
    <row r="759">
      <c r="L759" s="262"/>
      <c r="Q759" s="262"/>
      <c r="R759" s="262"/>
      <c r="S759" s="262"/>
      <c r="T759" s="262"/>
      <c r="U759" s="262"/>
      <c r="V759" s="262"/>
      <c r="W759" s="263"/>
      <c r="X759" s="263"/>
      <c r="Y759" s="263"/>
      <c r="Z759" s="263"/>
      <c r="AA759" s="263"/>
      <c r="AB759" s="263"/>
      <c r="AC759" s="263"/>
      <c r="AD759" s="263"/>
      <c r="AE759" s="263"/>
      <c r="AF759" s="263"/>
      <c r="AG759" s="263"/>
      <c r="AH759" s="263"/>
      <c r="AI759" s="263"/>
      <c r="AJ759" s="263"/>
      <c r="AK759" s="263"/>
    </row>
    <row r="760">
      <c r="L760" s="262"/>
      <c r="Q760" s="262"/>
      <c r="R760" s="262"/>
      <c r="S760" s="262"/>
      <c r="T760" s="262"/>
      <c r="U760" s="262"/>
      <c r="V760" s="262"/>
      <c r="W760" s="263"/>
      <c r="X760" s="263"/>
      <c r="Y760" s="263"/>
      <c r="Z760" s="263"/>
      <c r="AA760" s="263"/>
      <c r="AB760" s="263"/>
      <c r="AC760" s="263"/>
      <c r="AD760" s="263"/>
      <c r="AE760" s="263"/>
      <c r="AF760" s="263"/>
      <c r="AG760" s="263"/>
      <c r="AH760" s="263"/>
      <c r="AI760" s="263"/>
      <c r="AJ760" s="263"/>
      <c r="AK760" s="263"/>
    </row>
    <row r="761">
      <c r="L761" s="262"/>
      <c r="Q761" s="262"/>
      <c r="R761" s="262"/>
      <c r="S761" s="262"/>
      <c r="T761" s="262"/>
      <c r="U761" s="262"/>
      <c r="V761" s="262"/>
      <c r="W761" s="263"/>
      <c r="X761" s="263"/>
      <c r="Y761" s="263"/>
      <c r="Z761" s="263"/>
      <c r="AA761" s="263"/>
      <c r="AB761" s="263"/>
      <c r="AC761" s="263"/>
      <c r="AD761" s="263"/>
      <c r="AE761" s="263"/>
      <c r="AF761" s="263"/>
      <c r="AG761" s="263"/>
      <c r="AH761" s="263"/>
      <c r="AI761" s="263"/>
      <c r="AJ761" s="263"/>
      <c r="AK761" s="263"/>
    </row>
    <row r="762">
      <c r="L762" s="262"/>
      <c r="Q762" s="262"/>
      <c r="R762" s="262"/>
      <c r="S762" s="262"/>
      <c r="T762" s="262"/>
      <c r="U762" s="262"/>
      <c r="V762" s="262"/>
      <c r="W762" s="263"/>
      <c r="X762" s="263"/>
      <c r="Y762" s="263"/>
      <c r="Z762" s="263"/>
      <c r="AA762" s="263"/>
      <c r="AB762" s="263"/>
      <c r="AC762" s="263"/>
      <c r="AD762" s="263"/>
      <c r="AE762" s="263"/>
      <c r="AF762" s="263"/>
      <c r="AG762" s="263"/>
      <c r="AH762" s="263"/>
      <c r="AI762" s="263"/>
      <c r="AJ762" s="263"/>
      <c r="AK762" s="263"/>
    </row>
    <row r="763">
      <c r="L763" s="262"/>
      <c r="Q763" s="262"/>
      <c r="R763" s="262"/>
      <c r="S763" s="262"/>
      <c r="T763" s="262"/>
      <c r="U763" s="262"/>
      <c r="V763" s="262"/>
      <c r="W763" s="263"/>
      <c r="X763" s="263"/>
      <c r="Y763" s="263"/>
      <c r="Z763" s="263"/>
      <c r="AA763" s="263"/>
      <c r="AB763" s="263"/>
      <c r="AC763" s="263"/>
      <c r="AD763" s="263"/>
      <c r="AE763" s="263"/>
      <c r="AF763" s="263"/>
      <c r="AG763" s="263"/>
      <c r="AH763" s="263"/>
      <c r="AI763" s="263"/>
      <c r="AJ763" s="263"/>
      <c r="AK763" s="263"/>
    </row>
    <row r="764">
      <c r="L764" s="262"/>
      <c r="Q764" s="262"/>
      <c r="R764" s="262"/>
      <c r="S764" s="262"/>
      <c r="T764" s="262"/>
      <c r="U764" s="262"/>
      <c r="V764" s="262"/>
      <c r="W764" s="263"/>
      <c r="X764" s="263"/>
      <c r="Y764" s="263"/>
      <c r="Z764" s="263"/>
      <c r="AA764" s="263"/>
      <c r="AB764" s="263"/>
      <c r="AC764" s="263"/>
      <c r="AD764" s="263"/>
      <c r="AE764" s="263"/>
      <c r="AF764" s="263"/>
      <c r="AG764" s="263"/>
      <c r="AH764" s="263"/>
      <c r="AI764" s="263"/>
      <c r="AJ764" s="263"/>
      <c r="AK764" s="263"/>
    </row>
    <row r="765">
      <c r="L765" s="262"/>
      <c r="Q765" s="262"/>
      <c r="R765" s="262"/>
      <c r="S765" s="262"/>
      <c r="T765" s="262"/>
      <c r="U765" s="262"/>
      <c r="V765" s="262"/>
      <c r="W765" s="263"/>
      <c r="X765" s="263"/>
      <c r="Y765" s="263"/>
      <c r="Z765" s="263"/>
      <c r="AA765" s="263"/>
      <c r="AB765" s="263"/>
      <c r="AC765" s="263"/>
      <c r="AD765" s="263"/>
      <c r="AE765" s="263"/>
      <c r="AF765" s="263"/>
      <c r="AG765" s="263"/>
      <c r="AH765" s="263"/>
      <c r="AI765" s="263"/>
      <c r="AJ765" s="263"/>
      <c r="AK765" s="263"/>
    </row>
    <row r="766">
      <c r="L766" s="262"/>
      <c r="Q766" s="262"/>
      <c r="R766" s="262"/>
      <c r="S766" s="262"/>
      <c r="T766" s="262"/>
      <c r="U766" s="262"/>
      <c r="V766" s="262"/>
      <c r="W766" s="263"/>
      <c r="X766" s="263"/>
      <c r="Y766" s="263"/>
      <c r="Z766" s="263"/>
      <c r="AA766" s="263"/>
      <c r="AB766" s="263"/>
      <c r="AC766" s="263"/>
      <c r="AD766" s="263"/>
      <c r="AE766" s="263"/>
      <c r="AF766" s="263"/>
      <c r="AG766" s="263"/>
      <c r="AH766" s="263"/>
      <c r="AI766" s="263"/>
      <c r="AJ766" s="263"/>
      <c r="AK766" s="263"/>
    </row>
    <row r="767">
      <c r="L767" s="262"/>
      <c r="Q767" s="262"/>
      <c r="R767" s="262"/>
      <c r="S767" s="262"/>
      <c r="T767" s="262"/>
      <c r="U767" s="262"/>
      <c r="V767" s="262"/>
      <c r="W767" s="263"/>
      <c r="X767" s="263"/>
      <c r="Y767" s="263"/>
      <c r="Z767" s="263"/>
      <c r="AA767" s="263"/>
      <c r="AB767" s="263"/>
      <c r="AC767" s="263"/>
      <c r="AD767" s="263"/>
      <c r="AE767" s="263"/>
      <c r="AF767" s="263"/>
      <c r="AG767" s="263"/>
      <c r="AH767" s="263"/>
      <c r="AI767" s="263"/>
      <c r="AJ767" s="263"/>
      <c r="AK767" s="263"/>
    </row>
    <row r="768">
      <c r="L768" s="262"/>
      <c r="Q768" s="262"/>
      <c r="R768" s="262"/>
      <c r="S768" s="262"/>
      <c r="T768" s="262"/>
      <c r="U768" s="262"/>
      <c r="V768" s="262"/>
      <c r="W768" s="263"/>
      <c r="X768" s="263"/>
      <c r="Y768" s="263"/>
      <c r="Z768" s="263"/>
      <c r="AA768" s="263"/>
      <c r="AB768" s="263"/>
      <c r="AC768" s="263"/>
      <c r="AD768" s="263"/>
      <c r="AE768" s="263"/>
      <c r="AF768" s="263"/>
      <c r="AG768" s="263"/>
      <c r="AH768" s="263"/>
      <c r="AI768" s="263"/>
      <c r="AJ768" s="263"/>
      <c r="AK768" s="263"/>
    </row>
    <row r="769">
      <c r="L769" s="262"/>
      <c r="Q769" s="262"/>
      <c r="R769" s="262"/>
      <c r="S769" s="262"/>
      <c r="T769" s="262"/>
      <c r="U769" s="262"/>
      <c r="V769" s="262"/>
      <c r="W769" s="263"/>
      <c r="X769" s="263"/>
      <c r="Y769" s="263"/>
      <c r="Z769" s="263"/>
      <c r="AA769" s="263"/>
      <c r="AB769" s="263"/>
      <c r="AC769" s="263"/>
      <c r="AD769" s="263"/>
      <c r="AE769" s="263"/>
      <c r="AF769" s="263"/>
      <c r="AG769" s="263"/>
      <c r="AH769" s="263"/>
      <c r="AI769" s="263"/>
      <c r="AJ769" s="263"/>
      <c r="AK769" s="263"/>
    </row>
    <row r="770">
      <c r="L770" s="262"/>
      <c r="Q770" s="262"/>
      <c r="R770" s="262"/>
      <c r="S770" s="262"/>
      <c r="T770" s="262"/>
      <c r="U770" s="262"/>
      <c r="V770" s="262"/>
      <c r="W770" s="263"/>
      <c r="X770" s="263"/>
      <c r="Y770" s="263"/>
      <c r="Z770" s="263"/>
      <c r="AA770" s="263"/>
      <c r="AB770" s="263"/>
      <c r="AC770" s="263"/>
      <c r="AD770" s="263"/>
      <c r="AE770" s="263"/>
      <c r="AF770" s="263"/>
      <c r="AG770" s="263"/>
      <c r="AH770" s="263"/>
      <c r="AI770" s="263"/>
      <c r="AJ770" s="263"/>
      <c r="AK770" s="263"/>
    </row>
    <row r="771">
      <c r="L771" s="262"/>
      <c r="Q771" s="262"/>
      <c r="R771" s="262"/>
      <c r="S771" s="262"/>
      <c r="T771" s="262"/>
      <c r="U771" s="262"/>
      <c r="V771" s="262"/>
      <c r="W771" s="263"/>
      <c r="X771" s="263"/>
      <c r="Y771" s="263"/>
      <c r="Z771" s="263"/>
      <c r="AA771" s="263"/>
      <c r="AB771" s="263"/>
      <c r="AC771" s="263"/>
      <c r="AD771" s="263"/>
      <c r="AE771" s="263"/>
      <c r="AF771" s="263"/>
      <c r="AG771" s="263"/>
      <c r="AH771" s="263"/>
      <c r="AI771" s="263"/>
      <c r="AJ771" s="263"/>
      <c r="AK771" s="263"/>
    </row>
    <row r="772">
      <c r="L772" s="262"/>
      <c r="Q772" s="262"/>
      <c r="R772" s="262"/>
      <c r="S772" s="262"/>
      <c r="T772" s="262"/>
      <c r="U772" s="262"/>
      <c r="V772" s="262"/>
      <c r="W772" s="263"/>
      <c r="X772" s="263"/>
      <c r="Y772" s="263"/>
      <c r="Z772" s="263"/>
      <c r="AA772" s="263"/>
      <c r="AB772" s="263"/>
      <c r="AC772" s="263"/>
      <c r="AD772" s="263"/>
      <c r="AE772" s="263"/>
      <c r="AF772" s="263"/>
      <c r="AG772" s="263"/>
      <c r="AH772" s="263"/>
      <c r="AI772" s="263"/>
      <c r="AJ772" s="263"/>
      <c r="AK772" s="263"/>
    </row>
    <row r="773">
      <c r="L773" s="262"/>
      <c r="Q773" s="262"/>
      <c r="R773" s="262"/>
      <c r="S773" s="262"/>
      <c r="T773" s="262"/>
      <c r="U773" s="262"/>
      <c r="V773" s="262"/>
      <c r="W773" s="263"/>
      <c r="X773" s="263"/>
      <c r="Y773" s="263"/>
      <c r="Z773" s="263"/>
      <c r="AA773" s="263"/>
      <c r="AB773" s="263"/>
      <c r="AC773" s="263"/>
      <c r="AD773" s="263"/>
      <c r="AE773" s="263"/>
      <c r="AF773" s="263"/>
      <c r="AG773" s="263"/>
      <c r="AH773" s="263"/>
      <c r="AI773" s="263"/>
      <c r="AJ773" s="263"/>
      <c r="AK773" s="263"/>
    </row>
    <row r="774">
      <c r="L774" s="262"/>
      <c r="Q774" s="262"/>
      <c r="R774" s="262"/>
      <c r="S774" s="262"/>
      <c r="T774" s="262"/>
      <c r="U774" s="262"/>
      <c r="V774" s="262"/>
      <c r="W774" s="263"/>
      <c r="X774" s="263"/>
      <c r="Y774" s="263"/>
      <c r="Z774" s="263"/>
      <c r="AA774" s="263"/>
      <c r="AB774" s="263"/>
      <c r="AC774" s="263"/>
      <c r="AD774" s="263"/>
      <c r="AE774" s="263"/>
      <c r="AF774" s="263"/>
      <c r="AG774" s="263"/>
      <c r="AH774" s="263"/>
      <c r="AI774" s="263"/>
      <c r="AJ774" s="263"/>
      <c r="AK774" s="263"/>
    </row>
    <row r="775">
      <c r="L775" s="262"/>
      <c r="Q775" s="262"/>
      <c r="R775" s="262"/>
      <c r="S775" s="262"/>
      <c r="T775" s="262"/>
      <c r="U775" s="262"/>
      <c r="V775" s="262"/>
      <c r="W775" s="263"/>
      <c r="X775" s="263"/>
      <c r="Y775" s="263"/>
      <c r="Z775" s="263"/>
      <c r="AA775" s="263"/>
      <c r="AB775" s="263"/>
      <c r="AC775" s="263"/>
      <c r="AD775" s="263"/>
      <c r="AE775" s="263"/>
      <c r="AF775" s="263"/>
      <c r="AG775" s="263"/>
      <c r="AH775" s="263"/>
      <c r="AI775" s="263"/>
      <c r="AJ775" s="263"/>
      <c r="AK775" s="263"/>
    </row>
    <row r="776">
      <c r="L776" s="262"/>
      <c r="Q776" s="262"/>
      <c r="R776" s="262"/>
      <c r="S776" s="262"/>
      <c r="T776" s="262"/>
      <c r="U776" s="262"/>
      <c r="V776" s="262"/>
      <c r="W776" s="263"/>
      <c r="X776" s="263"/>
      <c r="Y776" s="263"/>
      <c r="Z776" s="263"/>
      <c r="AA776" s="263"/>
      <c r="AB776" s="263"/>
      <c r="AC776" s="263"/>
      <c r="AD776" s="263"/>
      <c r="AE776" s="263"/>
      <c r="AF776" s="263"/>
      <c r="AG776" s="263"/>
      <c r="AH776" s="263"/>
      <c r="AI776" s="263"/>
      <c r="AJ776" s="263"/>
      <c r="AK776" s="263"/>
    </row>
    <row r="777">
      <c r="L777" s="262"/>
      <c r="Q777" s="262"/>
      <c r="R777" s="262"/>
      <c r="S777" s="262"/>
      <c r="T777" s="262"/>
      <c r="U777" s="262"/>
      <c r="V777" s="262"/>
      <c r="W777" s="263"/>
      <c r="X777" s="263"/>
      <c r="Y777" s="263"/>
      <c r="Z777" s="263"/>
      <c r="AA777" s="263"/>
      <c r="AB777" s="263"/>
      <c r="AC777" s="263"/>
      <c r="AD777" s="263"/>
      <c r="AE777" s="263"/>
      <c r="AF777" s="263"/>
      <c r="AG777" s="263"/>
      <c r="AH777" s="263"/>
      <c r="AI777" s="263"/>
      <c r="AJ777" s="263"/>
      <c r="AK777" s="263"/>
    </row>
    <row r="778">
      <c r="L778" s="262"/>
      <c r="Q778" s="262"/>
      <c r="R778" s="262"/>
      <c r="S778" s="262"/>
      <c r="T778" s="262"/>
      <c r="U778" s="262"/>
      <c r="V778" s="262"/>
      <c r="W778" s="263"/>
      <c r="X778" s="263"/>
      <c r="Y778" s="263"/>
      <c r="Z778" s="263"/>
      <c r="AA778" s="263"/>
      <c r="AB778" s="263"/>
      <c r="AC778" s="263"/>
      <c r="AD778" s="263"/>
      <c r="AE778" s="263"/>
      <c r="AF778" s="263"/>
      <c r="AG778" s="263"/>
      <c r="AH778" s="263"/>
      <c r="AI778" s="263"/>
      <c r="AJ778" s="263"/>
      <c r="AK778" s="263"/>
    </row>
    <row r="779">
      <c r="L779" s="262"/>
      <c r="Q779" s="262"/>
      <c r="R779" s="262"/>
      <c r="S779" s="262"/>
      <c r="T779" s="262"/>
      <c r="U779" s="262"/>
      <c r="V779" s="262"/>
      <c r="W779" s="263"/>
      <c r="X779" s="263"/>
      <c r="Y779" s="263"/>
      <c r="Z779" s="263"/>
      <c r="AA779" s="263"/>
      <c r="AB779" s="263"/>
      <c r="AC779" s="263"/>
      <c r="AD779" s="263"/>
      <c r="AE779" s="263"/>
      <c r="AF779" s="263"/>
      <c r="AG779" s="263"/>
      <c r="AH779" s="263"/>
      <c r="AI779" s="263"/>
      <c r="AJ779" s="263"/>
      <c r="AK779" s="263"/>
    </row>
    <row r="780">
      <c r="L780" s="262"/>
      <c r="Q780" s="262"/>
      <c r="R780" s="262"/>
      <c r="S780" s="262"/>
      <c r="T780" s="262"/>
      <c r="U780" s="262"/>
      <c r="V780" s="262"/>
      <c r="W780" s="263"/>
      <c r="X780" s="263"/>
      <c r="Y780" s="263"/>
      <c r="Z780" s="263"/>
      <c r="AA780" s="263"/>
      <c r="AB780" s="263"/>
      <c r="AC780" s="263"/>
      <c r="AD780" s="263"/>
      <c r="AE780" s="263"/>
      <c r="AF780" s="263"/>
      <c r="AG780" s="263"/>
      <c r="AH780" s="263"/>
      <c r="AI780" s="263"/>
      <c r="AJ780" s="263"/>
      <c r="AK780" s="263"/>
    </row>
    <row r="781">
      <c r="L781" s="262"/>
      <c r="Q781" s="262"/>
      <c r="R781" s="262"/>
      <c r="S781" s="262"/>
      <c r="T781" s="262"/>
      <c r="U781" s="262"/>
      <c r="V781" s="262"/>
      <c r="W781" s="263"/>
      <c r="X781" s="263"/>
      <c r="Y781" s="263"/>
      <c r="Z781" s="263"/>
      <c r="AA781" s="263"/>
      <c r="AB781" s="263"/>
      <c r="AC781" s="263"/>
      <c r="AD781" s="263"/>
      <c r="AE781" s="263"/>
      <c r="AF781" s="263"/>
      <c r="AG781" s="263"/>
      <c r="AH781" s="263"/>
      <c r="AI781" s="263"/>
      <c r="AJ781" s="263"/>
      <c r="AK781" s="263"/>
    </row>
    <row r="782">
      <c r="L782" s="262"/>
      <c r="Q782" s="262"/>
      <c r="R782" s="262"/>
      <c r="S782" s="262"/>
      <c r="T782" s="262"/>
      <c r="U782" s="262"/>
      <c r="V782" s="262"/>
      <c r="W782" s="263"/>
      <c r="X782" s="263"/>
      <c r="Y782" s="263"/>
      <c r="Z782" s="263"/>
      <c r="AA782" s="263"/>
      <c r="AB782" s="263"/>
      <c r="AC782" s="263"/>
      <c r="AD782" s="263"/>
      <c r="AE782" s="263"/>
      <c r="AF782" s="263"/>
      <c r="AG782" s="263"/>
      <c r="AH782" s="263"/>
      <c r="AI782" s="263"/>
      <c r="AJ782" s="263"/>
      <c r="AK782" s="263"/>
    </row>
    <row r="783">
      <c r="L783" s="262"/>
      <c r="Q783" s="262"/>
      <c r="R783" s="262"/>
      <c r="S783" s="262"/>
      <c r="T783" s="262"/>
      <c r="U783" s="262"/>
      <c r="V783" s="262"/>
      <c r="W783" s="263"/>
      <c r="X783" s="263"/>
      <c r="Y783" s="263"/>
      <c r="Z783" s="263"/>
      <c r="AA783" s="263"/>
      <c r="AB783" s="263"/>
      <c r="AC783" s="263"/>
      <c r="AD783" s="263"/>
      <c r="AE783" s="263"/>
      <c r="AF783" s="263"/>
      <c r="AG783" s="263"/>
      <c r="AH783" s="263"/>
      <c r="AI783" s="263"/>
      <c r="AJ783" s="263"/>
      <c r="AK783" s="263"/>
    </row>
    <row r="784">
      <c r="L784" s="262"/>
      <c r="Q784" s="262"/>
      <c r="R784" s="262"/>
      <c r="S784" s="262"/>
      <c r="T784" s="262"/>
      <c r="U784" s="262"/>
      <c r="V784" s="262"/>
      <c r="W784" s="263"/>
      <c r="X784" s="263"/>
      <c r="Y784" s="263"/>
      <c r="Z784" s="263"/>
      <c r="AA784" s="263"/>
      <c r="AB784" s="263"/>
      <c r="AC784" s="263"/>
      <c r="AD784" s="263"/>
      <c r="AE784" s="263"/>
      <c r="AF784" s="263"/>
      <c r="AG784" s="263"/>
      <c r="AH784" s="263"/>
      <c r="AI784" s="263"/>
      <c r="AJ784" s="263"/>
      <c r="AK784" s="263"/>
    </row>
    <row r="785">
      <c r="L785" s="262"/>
      <c r="Q785" s="262"/>
      <c r="R785" s="262"/>
      <c r="S785" s="262"/>
      <c r="T785" s="262"/>
      <c r="U785" s="262"/>
      <c r="V785" s="262"/>
      <c r="W785" s="263"/>
      <c r="X785" s="263"/>
      <c r="Y785" s="263"/>
      <c r="Z785" s="263"/>
      <c r="AA785" s="263"/>
      <c r="AB785" s="263"/>
      <c r="AC785" s="263"/>
      <c r="AD785" s="263"/>
      <c r="AE785" s="263"/>
      <c r="AF785" s="263"/>
      <c r="AG785" s="263"/>
      <c r="AH785" s="263"/>
      <c r="AI785" s="263"/>
      <c r="AJ785" s="263"/>
      <c r="AK785" s="263"/>
    </row>
    <row r="786">
      <c r="L786" s="262"/>
      <c r="Q786" s="262"/>
      <c r="R786" s="262"/>
      <c r="S786" s="262"/>
      <c r="T786" s="262"/>
      <c r="U786" s="262"/>
      <c r="V786" s="262"/>
      <c r="W786" s="263"/>
      <c r="X786" s="263"/>
      <c r="Y786" s="263"/>
      <c r="Z786" s="263"/>
      <c r="AA786" s="263"/>
      <c r="AB786" s="263"/>
      <c r="AC786" s="263"/>
      <c r="AD786" s="263"/>
      <c r="AE786" s="263"/>
      <c r="AF786" s="263"/>
      <c r="AG786" s="263"/>
      <c r="AH786" s="263"/>
      <c r="AI786" s="263"/>
      <c r="AJ786" s="263"/>
      <c r="AK786" s="263"/>
    </row>
    <row r="787">
      <c r="L787" s="262"/>
      <c r="Q787" s="262"/>
      <c r="R787" s="262"/>
      <c r="S787" s="262"/>
      <c r="T787" s="262"/>
      <c r="U787" s="262"/>
      <c r="V787" s="262"/>
      <c r="W787" s="263"/>
      <c r="X787" s="263"/>
      <c r="Y787" s="263"/>
      <c r="Z787" s="263"/>
      <c r="AA787" s="263"/>
      <c r="AB787" s="263"/>
      <c r="AC787" s="263"/>
      <c r="AD787" s="263"/>
      <c r="AE787" s="263"/>
      <c r="AF787" s="263"/>
      <c r="AG787" s="263"/>
      <c r="AH787" s="263"/>
      <c r="AI787" s="263"/>
      <c r="AJ787" s="263"/>
      <c r="AK787" s="263"/>
    </row>
    <row r="788">
      <c r="L788" s="262"/>
      <c r="Q788" s="262"/>
      <c r="R788" s="262"/>
      <c r="S788" s="262"/>
      <c r="T788" s="262"/>
      <c r="U788" s="262"/>
      <c r="V788" s="262"/>
      <c r="W788" s="263"/>
      <c r="X788" s="263"/>
      <c r="Y788" s="263"/>
      <c r="Z788" s="263"/>
      <c r="AA788" s="263"/>
      <c r="AB788" s="263"/>
      <c r="AC788" s="263"/>
      <c r="AD788" s="263"/>
      <c r="AE788" s="263"/>
      <c r="AF788" s="263"/>
      <c r="AG788" s="263"/>
      <c r="AH788" s="263"/>
      <c r="AI788" s="263"/>
      <c r="AJ788" s="263"/>
      <c r="AK788" s="263"/>
    </row>
    <row r="789">
      <c r="L789" s="262"/>
      <c r="Q789" s="262"/>
      <c r="R789" s="262"/>
      <c r="S789" s="262"/>
      <c r="T789" s="262"/>
      <c r="U789" s="262"/>
      <c r="V789" s="262"/>
      <c r="W789" s="263"/>
      <c r="X789" s="263"/>
      <c r="Y789" s="263"/>
      <c r="Z789" s="263"/>
      <c r="AA789" s="263"/>
      <c r="AB789" s="263"/>
      <c r="AC789" s="263"/>
      <c r="AD789" s="263"/>
      <c r="AE789" s="263"/>
      <c r="AF789" s="263"/>
      <c r="AG789" s="263"/>
      <c r="AH789" s="263"/>
      <c r="AI789" s="263"/>
      <c r="AJ789" s="263"/>
      <c r="AK789" s="263"/>
    </row>
    <row r="790">
      <c r="L790" s="262"/>
      <c r="Q790" s="262"/>
      <c r="R790" s="262"/>
      <c r="S790" s="262"/>
      <c r="T790" s="262"/>
      <c r="U790" s="262"/>
      <c r="V790" s="262"/>
      <c r="W790" s="263"/>
      <c r="X790" s="263"/>
      <c r="Y790" s="263"/>
      <c r="Z790" s="263"/>
      <c r="AA790" s="263"/>
      <c r="AB790" s="263"/>
      <c r="AC790" s="263"/>
      <c r="AD790" s="263"/>
      <c r="AE790" s="263"/>
      <c r="AF790" s="263"/>
      <c r="AG790" s="263"/>
      <c r="AH790" s="263"/>
      <c r="AI790" s="263"/>
      <c r="AJ790" s="263"/>
      <c r="AK790" s="263"/>
    </row>
    <row r="791">
      <c r="L791" s="262"/>
      <c r="Q791" s="262"/>
      <c r="R791" s="262"/>
      <c r="S791" s="262"/>
      <c r="T791" s="262"/>
      <c r="U791" s="262"/>
      <c r="V791" s="262"/>
      <c r="W791" s="263"/>
      <c r="X791" s="263"/>
      <c r="Y791" s="263"/>
      <c r="Z791" s="263"/>
      <c r="AA791" s="263"/>
      <c r="AB791" s="263"/>
      <c r="AC791" s="263"/>
      <c r="AD791" s="263"/>
      <c r="AE791" s="263"/>
      <c r="AF791" s="263"/>
      <c r="AG791" s="263"/>
      <c r="AH791" s="263"/>
      <c r="AI791" s="263"/>
      <c r="AJ791" s="263"/>
      <c r="AK791" s="263"/>
    </row>
    <row r="792">
      <c r="L792" s="262"/>
      <c r="Q792" s="262"/>
      <c r="R792" s="262"/>
      <c r="S792" s="262"/>
      <c r="T792" s="262"/>
      <c r="U792" s="262"/>
      <c r="V792" s="262"/>
      <c r="W792" s="263"/>
      <c r="X792" s="263"/>
      <c r="Y792" s="263"/>
      <c r="Z792" s="263"/>
      <c r="AA792" s="263"/>
      <c r="AB792" s="263"/>
      <c r="AC792" s="263"/>
      <c r="AD792" s="263"/>
      <c r="AE792" s="263"/>
      <c r="AF792" s="263"/>
      <c r="AG792" s="263"/>
      <c r="AH792" s="263"/>
      <c r="AI792" s="263"/>
      <c r="AJ792" s="263"/>
      <c r="AK792" s="263"/>
    </row>
    <row r="793">
      <c r="L793" s="262"/>
      <c r="Q793" s="262"/>
      <c r="R793" s="262"/>
      <c r="S793" s="262"/>
      <c r="T793" s="262"/>
      <c r="U793" s="262"/>
      <c r="V793" s="262"/>
      <c r="W793" s="263"/>
      <c r="X793" s="263"/>
      <c r="Y793" s="263"/>
      <c r="Z793" s="263"/>
      <c r="AA793" s="263"/>
      <c r="AB793" s="263"/>
      <c r="AC793" s="263"/>
      <c r="AD793" s="263"/>
      <c r="AE793" s="263"/>
      <c r="AF793" s="263"/>
      <c r="AG793" s="263"/>
      <c r="AH793" s="263"/>
      <c r="AI793" s="263"/>
      <c r="AJ793" s="263"/>
      <c r="AK793" s="263"/>
    </row>
    <row r="794">
      <c r="L794" s="262"/>
      <c r="Q794" s="262"/>
      <c r="R794" s="262"/>
      <c r="S794" s="262"/>
      <c r="T794" s="262"/>
      <c r="U794" s="262"/>
      <c r="V794" s="262"/>
      <c r="W794" s="263"/>
      <c r="X794" s="263"/>
      <c r="Y794" s="263"/>
      <c r="Z794" s="263"/>
      <c r="AA794" s="263"/>
      <c r="AB794" s="263"/>
      <c r="AC794" s="263"/>
      <c r="AD794" s="263"/>
      <c r="AE794" s="263"/>
      <c r="AF794" s="263"/>
      <c r="AG794" s="263"/>
      <c r="AH794" s="263"/>
      <c r="AI794" s="263"/>
      <c r="AJ794" s="263"/>
      <c r="AK794" s="263"/>
    </row>
    <row r="795">
      <c r="L795" s="262"/>
      <c r="Q795" s="262"/>
      <c r="R795" s="262"/>
      <c r="S795" s="262"/>
      <c r="T795" s="262"/>
      <c r="U795" s="262"/>
      <c r="V795" s="262"/>
      <c r="W795" s="263"/>
      <c r="X795" s="263"/>
      <c r="Y795" s="263"/>
      <c r="Z795" s="263"/>
      <c r="AA795" s="263"/>
      <c r="AB795" s="263"/>
      <c r="AC795" s="263"/>
      <c r="AD795" s="263"/>
      <c r="AE795" s="263"/>
      <c r="AF795" s="263"/>
      <c r="AG795" s="263"/>
      <c r="AH795" s="263"/>
      <c r="AI795" s="263"/>
      <c r="AJ795" s="263"/>
      <c r="AK795" s="263"/>
    </row>
    <row r="796">
      <c r="L796" s="262"/>
      <c r="Q796" s="262"/>
      <c r="R796" s="262"/>
      <c r="S796" s="262"/>
      <c r="T796" s="262"/>
      <c r="U796" s="262"/>
      <c r="V796" s="262"/>
      <c r="W796" s="263"/>
      <c r="X796" s="263"/>
      <c r="Y796" s="263"/>
      <c r="Z796" s="263"/>
      <c r="AA796" s="263"/>
      <c r="AB796" s="263"/>
      <c r="AC796" s="263"/>
      <c r="AD796" s="263"/>
      <c r="AE796" s="263"/>
      <c r="AF796" s="263"/>
      <c r="AG796" s="263"/>
      <c r="AH796" s="263"/>
      <c r="AI796" s="263"/>
      <c r="AJ796" s="263"/>
      <c r="AK796" s="263"/>
    </row>
    <row r="797">
      <c r="L797" s="262"/>
      <c r="Q797" s="262"/>
      <c r="R797" s="262"/>
      <c r="S797" s="262"/>
      <c r="T797" s="262"/>
      <c r="U797" s="262"/>
      <c r="V797" s="262"/>
      <c r="W797" s="263"/>
      <c r="X797" s="263"/>
      <c r="Y797" s="263"/>
      <c r="Z797" s="263"/>
      <c r="AA797" s="263"/>
      <c r="AB797" s="263"/>
      <c r="AC797" s="263"/>
      <c r="AD797" s="263"/>
      <c r="AE797" s="263"/>
      <c r="AF797" s="263"/>
      <c r="AG797" s="263"/>
      <c r="AH797" s="263"/>
      <c r="AI797" s="263"/>
      <c r="AJ797" s="263"/>
      <c r="AK797" s="263"/>
    </row>
    <row r="798">
      <c r="L798" s="262"/>
      <c r="Q798" s="262"/>
      <c r="R798" s="262"/>
      <c r="S798" s="262"/>
      <c r="T798" s="262"/>
      <c r="U798" s="262"/>
      <c r="V798" s="262"/>
      <c r="W798" s="263"/>
      <c r="X798" s="263"/>
      <c r="Y798" s="263"/>
      <c r="Z798" s="263"/>
      <c r="AA798" s="263"/>
      <c r="AB798" s="263"/>
      <c r="AC798" s="263"/>
      <c r="AD798" s="263"/>
      <c r="AE798" s="263"/>
      <c r="AF798" s="263"/>
      <c r="AG798" s="263"/>
      <c r="AH798" s="263"/>
      <c r="AI798" s="263"/>
      <c r="AJ798" s="263"/>
      <c r="AK798" s="263"/>
    </row>
    <row r="799">
      <c r="L799" s="262"/>
      <c r="Q799" s="262"/>
      <c r="R799" s="262"/>
      <c r="S799" s="262"/>
      <c r="T799" s="262"/>
      <c r="U799" s="262"/>
      <c r="V799" s="262"/>
      <c r="W799" s="263"/>
      <c r="X799" s="263"/>
      <c r="Y799" s="263"/>
      <c r="Z799" s="263"/>
      <c r="AA799" s="263"/>
      <c r="AB799" s="263"/>
      <c r="AC799" s="263"/>
      <c r="AD799" s="263"/>
      <c r="AE799" s="263"/>
      <c r="AF799" s="263"/>
      <c r="AG799" s="263"/>
      <c r="AH799" s="263"/>
      <c r="AI799" s="263"/>
      <c r="AJ799" s="263"/>
      <c r="AK799" s="263"/>
    </row>
    <row r="800">
      <c r="L800" s="262"/>
      <c r="Q800" s="262"/>
      <c r="R800" s="262"/>
      <c r="S800" s="262"/>
      <c r="T800" s="262"/>
      <c r="U800" s="262"/>
      <c r="V800" s="262"/>
      <c r="W800" s="263"/>
      <c r="X800" s="263"/>
      <c r="Y800" s="263"/>
      <c r="Z800" s="263"/>
      <c r="AA800" s="263"/>
      <c r="AB800" s="263"/>
      <c r="AC800" s="263"/>
      <c r="AD800" s="263"/>
      <c r="AE800" s="263"/>
      <c r="AF800" s="263"/>
      <c r="AG800" s="263"/>
      <c r="AH800" s="263"/>
      <c r="AI800" s="263"/>
      <c r="AJ800" s="263"/>
      <c r="AK800" s="263"/>
    </row>
    <row r="801">
      <c r="L801" s="262"/>
      <c r="Q801" s="262"/>
      <c r="R801" s="262"/>
      <c r="S801" s="262"/>
      <c r="T801" s="262"/>
      <c r="U801" s="262"/>
      <c r="V801" s="262"/>
      <c r="W801" s="263"/>
      <c r="X801" s="263"/>
      <c r="Y801" s="263"/>
      <c r="Z801" s="263"/>
      <c r="AA801" s="263"/>
      <c r="AB801" s="263"/>
      <c r="AC801" s="263"/>
      <c r="AD801" s="263"/>
      <c r="AE801" s="263"/>
      <c r="AF801" s="263"/>
      <c r="AG801" s="263"/>
      <c r="AH801" s="263"/>
      <c r="AI801" s="263"/>
      <c r="AJ801" s="263"/>
      <c r="AK801" s="263"/>
    </row>
    <row r="802">
      <c r="L802" s="262"/>
      <c r="Q802" s="262"/>
      <c r="R802" s="262"/>
      <c r="S802" s="262"/>
      <c r="T802" s="262"/>
      <c r="U802" s="262"/>
      <c r="V802" s="262"/>
      <c r="W802" s="263"/>
      <c r="X802" s="263"/>
      <c r="Y802" s="263"/>
      <c r="Z802" s="263"/>
      <c r="AA802" s="263"/>
      <c r="AB802" s="263"/>
      <c r="AC802" s="263"/>
      <c r="AD802" s="263"/>
      <c r="AE802" s="263"/>
      <c r="AF802" s="263"/>
      <c r="AG802" s="263"/>
      <c r="AH802" s="263"/>
      <c r="AI802" s="263"/>
      <c r="AJ802" s="263"/>
      <c r="AK802" s="263"/>
    </row>
    <row r="803">
      <c r="L803" s="262"/>
      <c r="Q803" s="262"/>
      <c r="R803" s="262"/>
      <c r="S803" s="262"/>
      <c r="T803" s="262"/>
      <c r="U803" s="262"/>
      <c r="V803" s="262"/>
      <c r="W803" s="263"/>
      <c r="X803" s="263"/>
      <c r="Y803" s="263"/>
      <c r="Z803" s="263"/>
      <c r="AA803" s="263"/>
      <c r="AB803" s="263"/>
      <c r="AC803" s="263"/>
      <c r="AD803" s="263"/>
      <c r="AE803" s="263"/>
      <c r="AF803" s="263"/>
      <c r="AG803" s="263"/>
      <c r="AH803" s="263"/>
      <c r="AI803" s="263"/>
      <c r="AJ803" s="263"/>
      <c r="AK803" s="263"/>
    </row>
    <row r="804">
      <c r="L804" s="262"/>
      <c r="Q804" s="262"/>
      <c r="R804" s="262"/>
      <c r="S804" s="262"/>
      <c r="T804" s="262"/>
      <c r="U804" s="262"/>
      <c r="V804" s="262"/>
      <c r="W804" s="263"/>
      <c r="X804" s="263"/>
      <c r="Y804" s="263"/>
      <c r="Z804" s="263"/>
      <c r="AA804" s="263"/>
      <c r="AB804" s="263"/>
      <c r="AC804" s="263"/>
      <c r="AD804" s="263"/>
      <c r="AE804" s="263"/>
      <c r="AF804" s="263"/>
      <c r="AG804" s="263"/>
      <c r="AH804" s="263"/>
      <c r="AI804" s="263"/>
      <c r="AJ804" s="263"/>
      <c r="AK804" s="263"/>
    </row>
    <row r="805">
      <c r="L805" s="262"/>
      <c r="Q805" s="262"/>
      <c r="R805" s="262"/>
      <c r="S805" s="262"/>
      <c r="T805" s="262"/>
      <c r="U805" s="262"/>
      <c r="V805" s="262"/>
      <c r="W805" s="263"/>
      <c r="X805" s="263"/>
      <c r="Y805" s="263"/>
      <c r="Z805" s="263"/>
      <c r="AA805" s="263"/>
      <c r="AB805" s="263"/>
      <c r="AC805" s="263"/>
      <c r="AD805" s="263"/>
      <c r="AE805" s="263"/>
      <c r="AF805" s="263"/>
      <c r="AG805" s="263"/>
      <c r="AH805" s="263"/>
      <c r="AI805" s="263"/>
      <c r="AJ805" s="263"/>
      <c r="AK805" s="263"/>
    </row>
    <row r="806">
      <c r="L806" s="262"/>
      <c r="Q806" s="262"/>
      <c r="R806" s="262"/>
      <c r="S806" s="262"/>
      <c r="T806" s="262"/>
      <c r="U806" s="262"/>
      <c r="V806" s="262"/>
      <c r="W806" s="263"/>
      <c r="X806" s="263"/>
      <c r="Y806" s="263"/>
      <c r="Z806" s="263"/>
      <c r="AA806" s="263"/>
      <c r="AB806" s="263"/>
      <c r="AC806" s="263"/>
      <c r="AD806" s="263"/>
      <c r="AE806" s="263"/>
      <c r="AF806" s="263"/>
      <c r="AG806" s="263"/>
      <c r="AH806" s="263"/>
      <c r="AI806" s="263"/>
      <c r="AJ806" s="263"/>
      <c r="AK806" s="263"/>
    </row>
    <row r="807">
      <c r="L807" s="262"/>
      <c r="Q807" s="262"/>
      <c r="R807" s="262"/>
      <c r="S807" s="262"/>
      <c r="T807" s="262"/>
      <c r="U807" s="262"/>
      <c r="V807" s="262"/>
      <c r="W807" s="263"/>
      <c r="X807" s="263"/>
      <c r="Y807" s="263"/>
      <c r="Z807" s="263"/>
      <c r="AA807" s="263"/>
      <c r="AB807" s="263"/>
      <c r="AC807" s="263"/>
      <c r="AD807" s="263"/>
      <c r="AE807" s="263"/>
      <c r="AF807" s="263"/>
      <c r="AG807" s="263"/>
      <c r="AH807" s="263"/>
      <c r="AI807" s="263"/>
      <c r="AJ807" s="263"/>
      <c r="AK807" s="263"/>
    </row>
    <row r="808">
      <c r="L808" s="262"/>
      <c r="Q808" s="262"/>
      <c r="R808" s="262"/>
      <c r="S808" s="262"/>
      <c r="T808" s="262"/>
      <c r="U808" s="262"/>
      <c r="V808" s="262"/>
      <c r="W808" s="263"/>
      <c r="X808" s="263"/>
      <c r="Y808" s="263"/>
      <c r="Z808" s="263"/>
      <c r="AA808" s="263"/>
      <c r="AB808" s="263"/>
      <c r="AC808" s="263"/>
      <c r="AD808" s="263"/>
      <c r="AE808" s="263"/>
      <c r="AF808" s="263"/>
      <c r="AG808" s="263"/>
      <c r="AH808" s="263"/>
      <c r="AI808" s="263"/>
      <c r="AJ808" s="263"/>
      <c r="AK808" s="263"/>
    </row>
    <row r="809">
      <c r="L809" s="262"/>
      <c r="Q809" s="262"/>
      <c r="R809" s="262"/>
      <c r="S809" s="262"/>
      <c r="T809" s="262"/>
      <c r="U809" s="262"/>
      <c r="V809" s="262"/>
      <c r="W809" s="263"/>
      <c r="X809" s="263"/>
      <c r="Y809" s="263"/>
      <c r="Z809" s="263"/>
      <c r="AA809" s="263"/>
      <c r="AB809" s="263"/>
      <c r="AC809" s="263"/>
      <c r="AD809" s="263"/>
      <c r="AE809" s="263"/>
      <c r="AF809" s="263"/>
      <c r="AG809" s="263"/>
      <c r="AH809" s="263"/>
      <c r="AI809" s="263"/>
      <c r="AJ809" s="263"/>
      <c r="AK809" s="263"/>
    </row>
    <row r="810">
      <c r="L810" s="262"/>
      <c r="Q810" s="262"/>
      <c r="R810" s="262"/>
      <c r="S810" s="262"/>
      <c r="T810" s="262"/>
      <c r="U810" s="262"/>
      <c r="V810" s="262"/>
      <c r="W810" s="263"/>
      <c r="X810" s="263"/>
      <c r="Y810" s="263"/>
      <c r="Z810" s="263"/>
      <c r="AA810" s="263"/>
      <c r="AB810" s="263"/>
      <c r="AC810" s="263"/>
      <c r="AD810" s="263"/>
      <c r="AE810" s="263"/>
      <c r="AF810" s="263"/>
      <c r="AG810" s="263"/>
      <c r="AH810" s="263"/>
      <c r="AI810" s="263"/>
      <c r="AJ810" s="263"/>
      <c r="AK810" s="263"/>
    </row>
    <row r="811">
      <c r="L811" s="262"/>
      <c r="Q811" s="262"/>
      <c r="R811" s="262"/>
      <c r="S811" s="262"/>
      <c r="T811" s="262"/>
      <c r="U811" s="262"/>
      <c r="V811" s="262"/>
      <c r="W811" s="263"/>
      <c r="X811" s="263"/>
      <c r="Y811" s="263"/>
      <c r="Z811" s="263"/>
      <c r="AA811" s="263"/>
      <c r="AB811" s="263"/>
      <c r="AC811" s="263"/>
      <c r="AD811" s="263"/>
      <c r="AE811" s="263"/>
      <c r="AF811" s="263"/>
      <c r="AG811" s="263"/>
      <c r="AH811" s="263"/>
      <c r="AI811" s="263"/>
      <c r="AJ811" s="263"/>
      <c r="AK811" s="263"/>
    </row>
    <row r="812">
      <c r="L812" s="262"/>
      <c r="Q812" s="262"/>
      <c r="R812" s="262"/>
      <c r="S812" s="262"/>
      <c r="T812" s="262"/>
      <c r="U812" s="262"/>
      <c r="V812" s="262"/>
      <c r="W812" s="263"/>
      <c r="X812" s="263"/>
      <c r="Y812" s="263"/>
      <c r="Z812" s="263"/>
      <c r="AA812" s="263"/>
      <c r="AB812" s="263"/>
      <c r="AC812" s="263"/>
      <c r="AD812" s="263"/>
      <c r="AE812" s="263"/>
      <c r="AF812" s="263"/>
      <c r="AG812" s="263"/>
      <c r="AH812" s="263"/>
      <c r="AI812" s="263"/>
      <c r="AJ812" s="263"/>
      <c r="AK812" s="263"/>
    </row>
    <row r="813">
      <c r="L813" s="262"/>
      <c r="Q813" s="262"/>
      <c r="R813" s="262"/>
      <c r="S813" s="262"/>
      <c r="T813" s="262"/>
      <c r="U813" s="262"/>
      <c r="V813" s="262"/>
      <c r="W813" s="263"/>
      <c r="X813" s="263"/>
      <c r="Y813" s="263"/>
      <c r="Z813" s="263"/>
      <c r="AA813" s="263"/>
      <c r="AB813" s="263"/>
      <c r="AC813" s="263"/>
      <c r="AD813" s="263"/>
      <c r="AE813" s="263"/>
      <c r="AF813" s="263"/>
      <c r="AG813" s="263"/>
      <c r="AH813" s="263"/>
      <c r="AI813" s="263"/>
      <c r="AJ813" s="263"/>
      <c r="AK813" s="263"/>
    </row>
    <row r="814">
      <c r="L814" s="262"/>
      <c r="Q814" s="262"/>
      <c r="R814" s="262"/>
      <c r="S814" s="262"/>
      <c r="T814" s="262"/>
      <c r="U814" s="262"/>
      <c r="V814" s="262"/>
      <c r="W814" s="263"/>
      <c r="X814" s="263"/>
      <c r="Y814" s="263"/>
      <c r="Z814" s="263"/>
      <c r="AA814" s="263"/>
      <c r="AB814" s="263"/>
      <c r="AC814" s="263"/>
      <c r="AD814" s="263"/>
      <c r="AE814" s="263"/>
      <c r="AF814" s="263"/>
      <c r="AG814" s="263"/>
      <c r="AH814" s="263"/>
      <c r="AI814" s="263"/>
      <c r="AJ814" s="263"/>
      <c r="AK814" s="263"/>
    </row>
    <row r="815">
      <c r="L815" s="262"/>
      <c r="Q815" s="262"/>
      <c r="R815" s="262"/>
      <c r="S815" s="262"/>
      <c r="T815" s="262"/>
      <c r="U815" s="262"/>
      <c r="V815" s="262"/>
      <c r="W815" s="263"/>
      <c r="X815" s="263"/>
      <c r="Y815" s="263"/>
      <c r="Z815" s="263"/>
      <c r="AA815" s="263"/>
      <c r="AB815" s="263"/>
      <c r="AC815" s="263"/>
      <c r="AD815" s="263"/>
      <c r="AE815" s="263"/>
      <c r="AF815" s="263"/>
      <c r="AG815" s="263"/>
      <c r="AH815" s="263"/>
      <c r="AI815" s="263"/>
      <c r="AJ815" s="263"/>
      <c r="AK815" s="263"/>
    </row>
    <row r="816">
      <c r="L816" s="262"/>
      <c r="Q816" s="262"/>
      <c r="R816" s="262"/>
      <c r="S816" s="262"/>
      <c r="T816" s="262"/>
      <c r="U816" s="262"/>
      <c r="V816" s="262"/>
      <c r="W816" s="263"/>
      <c r="X816" s="263"/>
      <c r="Y816" s="263"/>
      <c r="Z816" s="263"/>
      <c r="AA816" s="263"/>
      <c r="AB816" s="263"/>
      <c r="AC816" s="263"/>
      <c r="AD816" s="263"/>
      <c r="AE816" s="263"/>
      <c r="AF816" s="263"/>
      <c r="AG816" s="263"/>
      <c r="AH816" s="263"/>
      <c r="AI816" s="263"/>
      <c r="AJ816" s="263"/>
      <c r="AK816" s="263"/>
    </row>
    <row r="817">
      <c r="L817" s="262"/>
      <c r="Q817" s="262"/>
      <c r="R817" s="262"/>
      <c r="S817" s="262"/>
      <c r="T817" s="262"/>
      <c r="U817" s="262"/>
      <c r="V817" s="262"/>
      <c r="W817" s="263"/>
      <c r="X817" s="263"/>
      <c r="Y817" s="263"/>
      <c r="Z817" s="263"/>
      <c r="AA817" s="263"/>
      <c r="AB817" s="263"/>
      <c r="AC817" s="263"/>
      <c r="AD817" s="263"/>
      <c r="AE817" s="263"/>
      <c r="AF817" s="263"/>
      <c r="AG817" s="263"/>
      <c r="AH817" s="263"/>
      <c r="AI817" s="263"/>
      <c r="AJ817" s="263"/>
      <c r="AK817" s="263"/>
    </row>
    <row r="818">
      <c r="L818" s="262"/>
      <c r="Q818" s="262"/>
      <c r="R818" s="262"/>
      <c r="S818" s="262"/>
      <c r="T818" s="262"/>
      <c r="U818" s="262"/>
      <c r="V818" s="262"/>
      <c r="W818" s="263"/>
      <c r="X818" s="263"/>
      <c r="Y818" s="263"/>
      <c r="Z818" s="263"/>
      <c r="AA818" s="263"/>
      <c r="AB818" s="263"/>
      <c r="AC818" s="263"/>
      <c r="AD818" s="263"/>
      <c r="AE818" s="263"/>
      <c r="AF818" s="263"/>
      <c r="AG818" s="263"/>
      <c r="AH818" s="263"/>
      <c r="AI818" s="263"/>
      <c r="AJ818" s="263"/>
      <c r="AK818" s="263"/>
    </row>
    <row r="819">
      <c r="L819" s="262"/>
      <c r="Q819" s="262"/>
      <c r="R819" s="262"/>
      <c r="S819" s="262"/>
      <c r="T819" s="262"/>
      <c r="U819" s="262"/>
      <c r="V819" s="262"/>
      <c r="W819" s="263"/>
      <c r="X819" s="263"/>
      <c r="Y819" s="263"/>
      <c r="Z819" s="263"/>
      <c r="AA819" s="263"/>
      <c r="AB819" s="263"/>
      <c r="AC819" s="263"/>
      <c r="AD819" s="263"/>
      <c r="AE819" s="263"/>
      <c r="AF819" s="263"/>
      <c r="AG819" s="263"/>
      <c r="AH819" s="263"/>
      <c r="AI819" s="263"/>
      <c r="AJ819" s="263"/>
      <c r="AK819" s="263"/>
    </row>
    <row r="820">
      <c r="L820" s="262"/>
      <c r="Q820" s="262"/>
      <c r="R820" s="262"/>
      <c r="S820" s="262"/>
      <c r="T820" s="262"/>
      <c r="U820" s="262"/>
      <c r="V820" s="262"/>
      <c r="W820" s="263"/>
      <c r="X820" s="263"/>
      <c r="Y820" s="263"/>
      <c r="Z820" s="263"/>
      <c r="AA820" s="263"/>
      <c r="AB820" s="263"/>
      <c r="AC820" s="263"/>
      <c r="AD820" s="263"/>
      <c r="AE820" s="263"/>
      <c r="AF820" s="263"/>
      <c r="AG820" s="263"/>
      <c r="AH820" s="263"/>
      <c r="AI820" s="263"/>
      <c r="AJ820" s="263"/>
      <c r="AK820" s="263"/>
    </row>
    <row r="821">
      <c r="L821" s="262"/>
      <c r="Q821" s="262"/>
      <c r="R821" s="262"/>
      <c r="S821" s="262"/>
      <c r="T821" s="262"/>
      <c r="U821" s="262"/>
      <c r="V821" s="262"/>
      <c r="W821" s="263"/>
      <c r="X821" s="263"/>
      <c r="Y821" s="263"/>
      <c r="Z821" s="263"/>
      <c r="AA821" s="263"/>
      <c r="AB821" s="263"/>
      <c r="AC821" s="263"/>
      <c r="AD821" s="263"/>
      <c r="AE821" s="263"/>
      <c r="AF821" s="263"/>
      <c r="AG821" s="263"/>
      <c r="AH821" s="263"/>
      <c r="AI821" s="263"/>
      <c r="AJ821" s="263"/>
      <c r="AK821" s="263"/>
    </row>
    <row r="822">
      <c r="L822" s="262"/>
      <c r="Q822" s="262"/>
      <c r="R822" s="262"/>
      <c r="S822" s="262"/>
      <c r="T822" s="262"/>
      <c r="U822" s="262"/>
      <c r="V822" s="262"/>
      <c r="W822" s="263"/>
      <c r="X822" s="263"/>
      <c r="Y822" s="263"/>
      <c r="Z822" s="263"/>
      <c r="AA822" s="263"/>
      <c r="AB822" s="263"/>
      <c r="AC822" s="263"/>
      <c r="AD822" s="263"/>
      <c r="AE822" s="263"/>
      <c r="AF822" s="263"/>
      <c r="AG822" s="263"/>
      <c r="AH822" s="263"/>
      <c r="AI822" s="263"/>
      <c r="AJ822" s="263"/>
      <c r="AK822" s="263"/>
    </row>
    <row r="823">
      <c r="L823" s="262"/>
      <c r="Q823" s="262"/>
      <c r="R823" s="262"/>
      <c r="S823" s="262"/>
      <c r="T823" s="262"/>
      <c r="U823" s="262"/>
      <c r="V823" s="262"/>
      <c r="W823" s="263"/>
      <c r="X823" s="263"/>
      <c r="Y823" s="263"/>
      <c r="Z823" s="263"/>
      <c r="AA823" s="263"/>
      <c r="AB823" s="263"/>
      <c r="AC823" s="263"/>
      <c r="AD823" s="263"/>
      <c r="AE823" s="263"/>
      <c r="AF823" s="263"/>
      <c r="AG823" s="263"/>
      <c r="AH823" s="263"/>
      <c r="AI823" s="263"/>
      <c r="AJ823" s="263"/>
      <c r="AK823" s="263"/>
    </row>
    <row r="824">
      <c r="L824" s="262"/>
      <c r="Q824" s="262"/>
      <c r="R824" s="262"/>
      <c r="S824" s="262"/>
      <c r="T824" s="262"/>
      <c r="U824" s="262"/>
      <c r="V824" s="262"/>
      <c r="W824" s="263"/>
      <c r="X824" s="263"/>
      <c r="Y824" s="263"/>
      <c r="Z824" s="263"/>
      <c r="AA824" s="263"/>
      <c r="AB824" s="263"/>
      <c r="AC824" s="263"/>
      <c r="AD824" s="263"/>
      <c r="AE824" s="263"/>
      <c r="AF824" s="263"/>
      <c r="AG824" s="263"/>
      <c r="AH824" s="263"/>
      <c r="AI824" s="263"/>
      <c r="AJ824" s="263"/>
      <c r="AK824" s="263"/>
    </row>
    <row r="825">
      <c r="L825" s="262"/>
      <c r="Q825" s="262"/>
      <c r="R825" s="262"/>
      <c r="S825" s="262"/>
      <c r="T825" s="262"/>
      <c r="U825" s="262"/>
      <c r="V825" s="262"/>
      <c r="W825" s="263"/>
      <c r="X825" s="263"/>
      <c r="Y825" s="263"/>
      <c r="Z825" s="263"/>
      <c r="AA825" s="263"/>
      <c r="AB825" s="263"/>
      <c r="AC825" s="263"/>
      <c r="AD825" s="263"/>
      <c r="AE825" s="263"/>
      <c r="AF825" s="263"/>
      <c r="AG825" s="263"/>
      <c r="AH825" s="263"/>
      <c r="AI825" s="263"/>
      <c r="AJ825" s="263"/>
      <c r="AK825" s="263"/>
    </row>
    <row r="826">
      <c r="L826" s="262"/>
      <c r="Q826" s="262"/>
      <c r="R826" s="262"/>
      <c r="S826" s="262"/>
      <c r="T826" s="262"/>
      <c r="U826" s="262"/>
      <c r="V826" s="262"/>
      <c r="W826" s="263"/>
      <c r="X826" s="263"/>
      <c r="Y826" s="263"/>
      <c r="Z826" s="263"/>
      <c r="AA826" s="263"/>
      <c r="AB826" s="263"/>
      <c r="AC826" s="263"/>
      <c r="AD826" s="263"/>
      <c r="AE826" s="263"/>
      <c r="AF826" s="263"/>
      <c r="AG826" s="263"/>
      <c r="AH826" s="263"/>
      <c r="AI826" s="263"/>
      <c r="AJ826" s="263"/>
      <c r="AK826" s="263"/>
    </row>
    <row r="827">
      <c r="L827" s="262"/>
      <c r="Q827" s="262"/>
      <c r="R827" s="262"/>
      <c r="S827" s="262"/>
      <c r="T827" s="262"/>
      <c r="U827" s="262"/>
      <c r="V827" s="262"/>
      <c r="W827" s="263"/>
      <c r="X827" s="263"/>
      <c r="Y827" s="263"/>
      <c r="Z827" s="263"/>
      <c r="AA827" s="263"/>
      <c r="AB827" s="263"/>
      <c r="AC827" s="263"/>
      <c r="AD827" s="263"/>
      <c r="AE827" s="263"/>
      <c r="AF827" s="263"/>
      <c r="AG827" s="263"/>
      <c r="AH827" s="263"/>
      <c r="AI827" s="263"/>
      <c r="AJ827" s="263"/>
      <c r="AK827" s="263"/>
    </row>
    <row r="828">
      <c r="L828" s="262"/>
      <c r="Q828" s="262"/>
      <c r="R828" s="262"/>
      <c r="S828" s="262"/>
      <c r="T828" s="262"/>
      <c r="U828" s="262"/>
      <c r="V828" s="262"/>
      <c r="W828" s="263"/>
      <c r="X828" s="263"/>
      <c r="Y828" s="263"/>
      <c r="Z828" s="263"/>
      <c r="AA828" s="263"/>
      <c r="AB828" s="263"/>
      <c r="AC828" s="263"/>
      <c r="AD828" s="263"/>
      <c r="AE828" s="263"/>
      <c r="AF828" s="263"/>
      <c r="AG828" s="263"/>
      <c r="AH828" s="263"/>
      <c r="AI828" s="263"/>
      <c r="AJ828" s="263"/>
      <c r="AK828" s="263"/>
    </row>
    <row r="829">
      <c r="L829" s="262"/>
      <c r="Q829" s="262"/>
      <c r="R829" s="262"/>
      <c r="S829" s="262"/>
      <c r="T829" s="262"/>
      <c r="U829" s="262"/>
      <c r="V829" s="262"/>
      <c r="W829" s="263"/>
      <c r="X829" s="263"/>
      <c r="Y829" s="263"/>
      <c r="Z829" s="263"/>
      <c r="AA829" s="263"/>
      <c r="AB829" s="263"/>
      <c r="AC829" s="263"/>
      <c r="AD829" s="263"/>
      <c r="AE829" s="263"/>
      <c r="AF829" s="263"/>
      <c r="AG829" s="263"/>
      <c r="AH829" s="263"/>
      <c r="AI829" s="263"/>
      <c r="AJ829" s="263"/>
      <c r="AK829" s="263"/>
    </row>
    <row r="830">
      <c r="L830" s="262"/>
      <c r="Q830" s="262"/>
      <c r="R830" s="262"/>
      <c r="S830" s="262"/>
      <c r="T830" s="262"/>
      <c r="U830" s="262"/>
      <c r="V830" s="262"/>
      <c r="W830" s="263"/>
      <c r="X830" s="263"/>
      <c r="Y830" s="263"/>
      <c r="Z830" s="263"/>
      <c r="AA830" s="263"/>
      <c r="AB830" s="263"/>
      <c r="AC830" s="263"/>
      <c r="AD830" s="263"/>
      <c r="AE830" s="263"/>
      <c r="AF830" s="263"/>
      <c r="AG830" s="263"/>
      <c r="AH830" s="263"/>
      <c r="AI830" s="263"/>
      <c r="AJ830" s="263"/>
      <c r="AK830" s="263"/>
    </row>
    <row r="831">
      <c r="L831" s="262"/>
      <c r="Q831" s="262"/>
      <c r="R831" s="262"/>
      <c r="S831" s="262"/>
      <c r="T831" s="262"/>
      <c r="U831" s="262"/>
      <c r="V831" s="262"/>
      <c r="W831" s="263"/>
      <c r="X831" s="263"/>
      <c r="Y831" s="263"/>
      <c r="Z831" s="263"/>
      <c r="AA831" s="263"/>
      <c r="AB831" s="263"/>
      <c r="AC831" s="263"/>
      <c r="AD831" s="263"/>
      <c r="AE831" s="263"/>
      <c r="AF831" s="263"/>
      <c r="AG831" s="263"/>
      <c r="AH831" s="263"/>
      <c r="AI831" s="263"/>
      <c r="AJ831" s="263"/>
      <c r="AK831" s="263"/>
    </row>
    <row r="832">
      <c r="L832" s="262"/>
      <c r="Q832" s="262"/>
      <c r="R832" s="262"/>
      <c r="S832" s="262"/>
      <c r="T832" s="262"/>
      <c r="U832" s="262"/>
      <c r="V832" s="262"/>
      <c r="W832" s="263"/>
      <c r="X832" s="263"/>
      <c r="Y832" s="263"/>
      <c r="Z832" s="263"/>
      <c r="AA832" s="263"/>
      <c r="AB832" s="263"/>
      <c r="AC832" s="263"/>
      <c r="AD832" s="263"/>
      <c r="AE832" s="263"/>
      <c r="AF832" s="263"/>
      <c r="AG832" s="263"/>
      <c r="AH832" s="263"/>
      <c r="AI832" s="263"/>
      <c r="AJ832" s="263"/>
      <c r="AK832" s="263"/>
    </row>
    <row r="833">
      <c r="L833" s="262"/>
      <c r="Q833" s="262"/>
      <c r="R833" s="262"/>
      <c r="S833" s="262"/>
      <c r="T833" s="262"/>
      <c r="U833" s="262"/>
      <c r="V833" s="262"/>
      <c r="W833" s="263"/>
      <c r="X833" s="263"/>
      <c r="Y833" s="263"/>
      <c r="Z833" s="263"/>
      <c r="AA833" s="263"/>
      <c r="AB833" s="263"/>
      <c r="AC833" s="263"/>
      <c r="AD833" s="263"/>
      <c r="AE833" s="263"/>
      <c r="AF833" s="263"/>
      <c r="AG833" s="263"/>
      <c r="AH833" s="263"/>
      <c r="AI833" s="263"/>
      <c r="AJ833" s="263"/>
      <c r="AK833" s="263"/>
    </row>
    <row r="834">
      <c r="L834" s="262"/>
      <c r="Q834" s="262"/>
      <c r="R834" s="262"/>
      <c r="S834" s="262"/>
      <c r="T834" s="262"/>
      <c r="U834" s="262"/>
      <c r="V834" s="262"/>
      <c r="W834" s="263"/>
      <c r="X834" s="263"/>
      <c r="Y834" s="263"/>
      <c r="Z834" s="263"/>
      <c r="AA834" s="263"/>
      <c r="AB834" s="263"/>
      <c r="AC834" s="263"/>
      <c r="AD834" s="263"/>
      <c r="AE834" s="263"/>
      <c r="AF834" s="263"/>
      <c r="AG834" s="263"/>
      <c r="AH834" s="263"/>
      <c r="AI834" s="263"/>
      <c r="AJ834" s="263"/>
      <c r="AK834" s="263"/>
    </row>
    <row r="835">
      <c r="L835" s="262"/>
      <c r="Q835" s="262"/>
      <c r="R835" s="262"/>
      <c r="S835" s="262"/>
      <c r="T835" s="262"/>
      <c r="U835" s="262"/>
      <c r="V835" s="262"/>
      <c r="W835" s="263"/>
      <c r="X835" s="263"/>
      <c r="Y835" s="263"/>
      <c r="Z835" s="263"/>
      <c r="AA835" s="263"/>
      <c r="AB835" s="263"/>
      <c r="AC835" s="263"/>
      <c r="AD835" s="263"/>
      <c r="AE835" s="263"/>
      <c r="AF835" s="263"/>
      <c r="AG835" s="263"/>
      <c r="AH835" s="263"/>
      <c r="AI835" s="263"/>
      <c r="AJ835" s="263"/>
      <c r="AK835" s="263"/>
    </row>
    <row r="836">
      <c r="L836" s="262"/>
      <c r="Q836" s="262"/>
      <c r="R836" s="262"/>
      <c r="S836" s="262"/>
      <c r="T836" s="262"/>
      <c r="U836" s="262"/>
      <c r="V836" s="262"/>
      <c r="W836" s="263"/>
      <c r="X836" s="263"/>
      <c r="Y836" s="263"/>
      <c r="Z836" s="263"/>
      <c r="AA836" s="263"/>
      <c r="AB836" s="263"/>
      <c r="AC836" s="263"/>
      <c r="AD836" s="263"/>
      <c r="AE836" s="263"/>
      <c r="AF836" s="263"/>
      <c r="AG836" s="263"/>
      <c r="AH836" s="263"/>
      <c r="AI836" s="263"/>
      <c r="AJ836" s="263"/>
      <c r="AK836" s="263"/>
    </row>
    <row r="837">
      <c r="L837" s="262"/>
      <c r="Q837" s="262"/>
      <c r="R837" s="262"/>
      <c r="S837" s="262"/>
      <c r="T837" s="262"/>
      <c r="U837" s="262"/>
      <c r="V837" s="262"/>
      <c r="W837" s="263"/>
      <c r="X837" s="263"/>
      <c r="Y837" s="263"/>
      <c r="Z837" s="263"/>
      <c r="AA837" s="263"/>
      <c r="AB837" s="263"/>
      <c r="AC837" s="263"/>
      <c r="AD837" s="263"/>
      <c r="AE837" s="263"/>
      <c r="AF837" s="263"/>
      <c r="AG837" s="263"/>
      <c r="AH837" s="263"/>
      <c r="AI837" s="263"/>
      <c r="AJ837" s="263"/>
      <c r="AK837" s="263"/>
    </row>
    <row r="838">
      <c r="L838" s="262"/>
      <c r="Q838" s="262"/>
      <c r="R838" s="262"/>
      <c r="S838" s="262"/>
      <c r="T838" s="262"/>
      <c r="U838" s="262"/>
      <c r="V838" s="262"/>
      <c r="W838" s="263"/>
      <c r="X838" s="263"/>
      <c r="Y838" s="263"/>
      <c r="Z838" s="263"/>
      <c r="AA838" s="263"/>
      <c r="AB838" s="263"/>
      <c r="AC838" s="263"/>
      <c r="AD838" s="263"/>
      <c r="AE838" s="263"/>
      <c r="AF838" s="263"/>
      <c r="AG838" s="263"/>
      <c r="AH838" s="263"/>
      <c r="AI838" s="263"/>
      <c r="AJ838" s="263"/>
      <c r="AK838" s="263"/>
    </row>
    <row r="839">
      <c r="L839" s="262"/>
      <c r="Q839" s="262"/>
      <c r="R839" s="262"/>
      <c r="S839" s="262"/>
      <c r="T839" s="262"/>
      <c r="U839" s="262"/>
      <c r="V839" s="262"/>
      <c r="W839" s="263"/>
      <c r="X839" s="263"/>
      <c r="Y839" s="263"/>
      <c r="Z839" s="263"/>
      <c r="AA839" s="263"/>
      <c r="AB839" s="263"/>
      <c r="AC839" s="263"/>
      <c r="AD839" s="263"/>
      <c r="AE839" s="263"/>
      <c r="AF839" s="263"/>
      <c r="AG839" s="263"/>
      <c r="AH839" s="263"/>
      <c r="AI839" s="263"/>
      <c r="AJ839" s="263"/>
      <c r="AK839" s="263"/>
    </row>
    <row r="840">
      <c r="L840" s="262"/>
      <c r="Q840" s="262"/>
      <c r="R840" s="262"/>
      <c r="S840" s="262"/>
      <c r="T840" s="262"/>
      <c r="U840" s="262"/>
      <c r="V840" s="262"/>
      <c r="W840" s="263"/>
      <c r="X840" s="263"/>
      <c r="Y840" s="263"/>
      <c r="Z840" s="263"/>
      <c r="AA840" s="263"/>
      <c r="AB840" s="263"/>
      <c r="AC840" s="263"/>
      <c r="AD840" s="263"/>
      <c r="AE840" s="263"/>
      <c r="AF840" s="263"/>
      <c r="AG840" s="263"/>
      <c r="AH840" s="263"/>
      <c r="AI840" s="263"/>
      <c r="AJ840" s="263"/>
      <c r="AK840" s="263"/>
    </row>
    <row r="841">
      <c r="L841" s="262"/>
      <c r="Q841" s="262"/>
      <c r="R841" s="262"/>
      <c r="S841" s="262"/>
      <c r="T841" s="262"/>
      <c r="U841" s="262"/>
      <c r="V841" s="262"/>
      <c r="W841" s="263"/>
      <c r="X841" s="263"/>
      <c r="Y841" s="263"/>
      <c r="Z841" s="263"/>
      <c r="AA841" s="263"/>
      <c r="AB841" s="263"/>
      <c r="AC841" s="263"/>
      <c r="AD841" s="263"/>
      <c r="AE841" s="263"/>
      <c r="AF841" s="263"/>
      <c r="AG841" s="263"/>
      <c r="AH841" s="263"/>
      <c r="AI841" s="263"/>
      <c r="AJ841" s="263"/>
      <c r="AK841" s="263"/>
    </row>
    <row r="842">
      <c r="L842" s="262"/>
      <c r="Q842" s="262"/>
      <c r="R842" s="262"/>
      <c r="S842" s="262"/>
      <c r="T842" s="262"/>
      <c r="U842" s="262"/>
      <c r="V842" s="262"/>
      <c r="W842" s="263"/>
      <c r="X842" s="263"/>
      <c r="Y842" s="263"/>
      <c r="Z842" s="263"/>
      <c r="AA842" s="263"/>
      <c r="AB842" s="263"/>
      <c r="AC842" s="263"/>
      <c r="AD842" s="263"/>
      <c r="AE842" s="263"/>
      <c r="AF842" s="263"/>
      <c r="AG842" s="263"/>
      <c r="AH842" s="263"/>
      <c r="AI842" s="263"/>
      <c r="AJ842" s="263"/>
      <c r="AK842" s="263"/>
    </row>
    <row r="843">
      <c r="L843" s="262"/>
      <c r="Q843" s="262"/>
      <c r="R843" s="262"/>
      <c r="S843" s="262"/>
      <c r="T843" s="262"/>
      <c r="U843" s="262"/>
      <c r="V843" s="262"/>
      <c r="W843" s="263"/>
      <c r="X843" s="263"/>
      <c r="Y843" s="263"/>
      <c r="Z843" s="263"/>
      <c r="AA843" s="263"/>
      <c r="AB843" s="263"/>
      <c r="AC843" s="263"/>
      <c r="AD843" s="263"/>
      <c r="AE843" s="263"/>
      <c r="AF843" s="263"/>
      <c r="AG843" s="263"/>
      <c r="AH843" s="263"/>
      <c r="AI843" s="263"/>
      <c r="AJ843" s="263"/>
      <c r="AK843" s="263"/>
    </row>
    <row r="844">
      <c r="L844" s="262"/>
      <c r="Q844" s="262"/>
      <c r="R844" s="262"/>
      <c r="S844" s="262"/>
      <c r="T844" s="262"/>
      <c r="U844" s="262"/>
      <c r="V844" s="262"/>
      <c r="W844" s="263"/>
      <c r="X844" s="263"/>
      <c r="Y844" s="263"/>
      <c r="Z844" s="263"/>
      <c r="AA844" s="263"/>
      <c r="AB844" s="263"/>
      <c r="AC844" s="263"/>
      <c r="AD844" s="263"/>
      <c r="AE844" s="263"/>
      <c r="AF844" s="263"/>
      <c r="AG844" s="263"/>
      <c r="AH844" s="263"/>
      <c r="AI844" s="263"/>
      <c r="AJ844" s="263"/>
      <c r="AK844" s="263"/>
    </row>
    <row r="845">
      <c r="L845" s="262"/>
      <c r="Q845" s="262"/>
      <c r="R845" s="262"/>
      <c r="S845" s="262"/>
      <c r="T845" s="262"/>
      <c r="U845" s="262"/>
      <c r="V845" s="262"/>
      <c r="W845" s="263"/>
      <c r="X845" s="263"/>
      <c r="Y845" s="263"/>
      <c r="Z845" s="263"/>
      <c r="AA845" s="263"/>
      <c r="AB845" s="263"/>
      <c r="AC845" s="263"/>
      <c r="AD845" s="263"/>
      <c r="AE845" s="263"/>
      <c r="AF845" s="263"/>
      <c r="AG845" s="263"/>
      <c r="AH845" s="263"/>
      <c r="AI845" s="263"/>
      <c r="AJ845" s="263"/>
      <c r="AK845" s="263"/>
    </row>
    <row r="846">
      <c r="L846" s="262"/>
      <c r="Q846" s="262"/>
      <c r="R846" s="262"/>
      <c r="S846" s="262"/>
      <c r="T846" s="262"/>
      <c r="U846" s="262"/>
      <c r="V846" s="262"/>
      <c r="W846" s="263"/>
      <c r="X846" s="263"/>
      <c r="Y846" s="263"/>
      <c r="Z846" s="263"/>
      <c r="AA846" s="263"/>
      <c r="AB846" s="263"/>
      <c r="AC846" s="263"/>
      <c r="AD846" s="263"/>
      <c r="AE846" s="263"/>
      <c r="AF846" s="263"/>
      <c r="AG846" s="263"/>
      <c r="AH846" s="263"/>
      <c r="AI846" s="263"/>
      <c r="AJ846" s="263"/>
      <c r="AK846" s="263"/>
    </row>
    <row r="847">
      <c r="L847" s="262"/>
      <c r="Q847" s="262"/>
      <c r="R847" s="262"/>
      <c r="S847" s="262"/>
      <c r="T847" s="262"/>
      <c r="U847" s="262"/>
      <c r="V847" s="262"/>
      <c r="W847" s="263"/>
      <c r="X847" s="263"/>
      <c r="Y847" s="263"/>
      <c r="Z847" s="263"/>
      <c r="AA847" s="263"/>
      <c r="AB847" s="263"/>
      <c r="AC847" s="263"/>
      <c r="AD847" s="263"/>
      <c r="AE847" s="263"/>
      <c r="AF847" s="263"/>
      <c r="AG847" s="263"/>
      <c r="AH847" s="263"/>
      <c r="AI847" s="263"/>
      <c r="AJ847" s="263"/>
      <c r="AK847" s="263"/>
    </row>
    <row r="848">
      <c r="L848" s="262"/>
      <c r="Q848" s="262"/>
      <c r="R848" s="262"/>
      <c r="S848" s="262"/>
      <c r="T848" s="262"/>
      <c r="U848" s="262"/>
      <c r="V848" s="262"/>
      <c r="W848" s="263"/>
      <c r="X848" s="263"/>
      <c r="Y848" s="263"/>
      <c r="Z848" s="263"/>
      <c r="AA848" s="263"/>
      <c r="AB848" s="263"/>
      <c r="AC848" s="263"/>
      <c r="AD848" s="263"/>
      <c r="AE848" s="263"/>
      <c r="AF848" s="263"/>
      <c r="AG848" s="263"/>
      <c r="AH848" s="263"/>
      <c r="AI848" s="263"/>
      <c r="AJ848" s="263"/>
      <c r="AK848" s="263"/>
    </row>
    <row r="849">
      <c r="L849" s="262"/>
      <c r="Q849" s="262"/>
      <c r="R849" s="262"/>
      <c r="S849" s="262"/>
      <c r="T849" s="262"/>
      <c r="U849" s="262"/>
      <c r="V849" s="262"/>
      <c r="W849" s="263"/>
      <c r="X849" s="263"/>
      <c r="Y849" s="263"/>
      <c r="Z849" s="263"/>
      <c r="AA849" s="263"/>
      <c r="AB849" s="263"/>
      <c r="AC849" s="263"/>
      <c r="AD849" s="263"/>
      <c r="AE849" s="263"/>
      <c r="AF849" s="263"/>
      <c r="AG849" s="263"/>
      <c r="AH849" s="263"/>
      <c r="AI849" s="263"/>
      <c r="AJ849" s="263"/>
      <c r="AK849" s="263"/>
    </row>
    <row r="850">
      <c r="L850" s="262"/>
      <c r="Q850" s="262"/>
      <c r="R850" s="262"/>
      <c r="S850" s="262"/>
      <c r="T850" s="262"/>
      <c r="U850" s="262"/>
      <c r="V850" s="262"/>
      <c r="W850" s="263"/>
      <c r="X850" s="263"/>
      <c r="Y850" s="263"/>
      <c r="Z850" s="263"/>
      <c r="AA850" s="263"/>
      <c r="AB850" s="263"/>
      <c r="AC850" s="263"/>
      <c r="AD850" s="263"/>
      <c r="AE850" s="263"/>
      <c r="AF850" s="263"/>
      <c r="AG850" s="263"/>
      <c r="AH850" s="263"/>
      <c r="AI850" s="263"/>
      <c r="AJ850" s="263"/>
      <c r="AK850" s="263"/>
    </row>
    <row r="851">
      <c r="L851" s="262"/>
      <c r="Q851" s="262"/>
      <c r="R851" s="262"/>
      <c r="S851" s="262"/>
      <c r="T851" s="262"/>
      <c r="U851" s="262"/>
      <c r="V851" s="262"/>
      <c r="W851" s="263"/>
      <c r="X851" s="263"/>
      <c r="Y851" s="263"/>
      <c r="Z851" s="263"/>
      <c r="AA851" s="263"/>
      <c r="AB851" s="263"/>
      <c r="AC851" s="263"/>
      <c r="AD851" s="263"/>
      <c r="AE851" s="263"/>
      <c r="AF851" s="263"/>
      <c r="AG851" s="263"/>
      <c r="AH851" s="263"/>
      <c r="AI851" s="263"/>
      <c r="AJ851" s="263"/>
      <c r="AK851" s="263"/>
    </row>
    <row r="852">
      <c r="L852" s="262"/>
      <c r="Q852" s="262"/>
      <c r="R852" s="262"/>
      <c r="S852" s="262"/>
      <c r="T852" s="262"/>
      <c r="U852" s="262"/>
      <c r="V852" s="262"/>
      <c r="W852" s="263"/>
      <c r="X852" s="263"/>
      <c r="Y852" s="263"/>
      <c r="Z852" s="263"/>
      <c r="AA852" s="263"/>
      <c r="AB852" s="263"/>
      <c r="AC852" s="263"/>
      <c r="AD852" s="263"/>
      <c r="AE852" s="263"/>
      <c r="AF852" s="263"/>
      <c r="AG852" s="263"/>
      <c r="AH852" s="263"/>
      <c r="AI852" s="263"/>
      <c r="AJ852" s="263"/>
      <c r="AK852" s="263"/>
    </row>
    <row r="853">
      <c r="L853" s="262"/>
      <c r="Q853" s="262"/>
      <c r="R853" s="262"/>
      <c r="S853" s="262"/>
      <c r="T853" s="262"/>
      <c r="U853" s="262"/>
      <c r="V853" s="262"/>
      <c r="W853" s="263"/>
      <c r="X853" s="263"/>
      <c r="Y853" s="263"/>
      <c r="Z853" s="263"/>
      <c r="AA853" s="263"/>
      <c r="AB853" s="263"/>
      <c r="AC853" s="263"/>
      <c r="AD853" s="263"/>
      <c r="AE853" s="263"/>
      <c r="AF853" s="263"/>
      <c r="AG853" s="263"/>
      <c r="AH853" s="263"/>
      <c r="AI853" s="263"/>
      <c r="AJ853" s="263"/>
      <c r="AK853" s="263"/>
    </row>
    <row r="854">
      <c r="L854" s="262"/>
      <c r="Q854" s="262"/>
      <c r="R854" s="262"/>
      <c r="S854" s="262"/>
      <c r="T854" s="262"/>
      <c r="U854" s="262"/>
      <c r="V854" s="262"/>
      <c r="W854" s="263"/>
      <c r="X854" s="263"/>
      <c r="Y854" s="263"/>
      <c r="Z854" s="263"/>
      <c r="AA854" s="263"/>
      <c r="AB854" s="263"/>
      <c r="AC854" s="263"/>
      <c r="AD854" s="263"/>
      <c r="AE854" s="263"/>
      <c r="AF854" s="263"/>
      <c r="AG854" s="263"/>
      <c r="AH854" s="263"/>
      <c r="AI854" s="263"/>
      <c r="AJ854" s="263"/>
      <c r="AK854" s="263"/>
    </row>
    <row r="855">
      <c r="L855" s="262"/>
      <c r="Q855" s="262"/>
      <c r="R855" s="262"/>
      <c r="S855" s="262"/>
      <c r="T855" s="262"/>
      <c r="U855" s="262"/>
      <c r="V855" s="262"/>
      <c r="W855" s="263"/>
      <c r="X855" s="263"/>
      <c r="Y855" s="263"/>
      <c r="Z855" s="263"/>
      <c r="AA855" s="263"/>
      <c r="AB855" s="263"/>
      <c r="AC855" s="263"/>
      <c r="AD855" s="263"/>
      <c r="AE855" s="263"/>
      <c r="AF855" s="263"/>
      <c r="AG855" s="263"/>
      <c r="AH855" s="263"/>
      <c r="AI855" s="263"/>
      <c r="AJ855" s="263"/>
      <c r="AK855" s="263"/>
    </row>
    <row r="856">
      <c r="L856" s="262"/>
      <c r="Q856" s="262"/>
      <c r="R856" s="262"/>
      <c r="S856" s="262"/>
      <c r="T856" s="262"/>
      <c r="U856" s="262"/>
      <c r="V856" s="262"/>
      <c r="W856" s="263"/>
      <c r="X856" s="263"/>
      <c r="Y856" s="263"/>
      <c r="Z856" s="263"/>
      <c r="AA856" s="263"/>
      <c r="AB856" s="263"/>
      <c r="AC856" s="263"/>
      <c r="AD856" s="263"/>
      <c r="AE856" s="263"/>
      <c r="AF856" s="263"/>
      <c r="AG856" s="263"/>
      <c r="AH856" s="263"/>
      <c r="AI856" s="263"/>
      <c r="AJ856" s="263"/>
      <c r="AK856" s="263"/>
    </row>
    <row r="857">
      <c r="L857" s="262"/>
      <c r="Q857" s="262"/>
      <c r="R857" s="262"/>
      <c r="S857" s="262"/>
      <c r="T857" s="262"/>
      <c r="U857" s="262"/>
      <c r="V857" s="262"/>
      <c r="W857" s="263"/>
      <c r="X857" s="263"/>
      <c r="Y857" s="263"/>
      <c r="Z857" s="263"/>
      <c r="AA857" s="263"/>
      <c r="AB857" s="263"/>
      <c r="AC857" s="263"/>
      <c r="AD857" s="263"/>
      <c r="AE857" s="263"/>
      <c r="AF857" s="263"/>
      <c r="AG857" s="263"/>
      <c r="AH857" s="263"/>
      <c r="AI857" s="263"/>
      <c r="AJ857" s="263"/>
      <c r="AK857" s="263"/>
    </row>
    <row r="858">
      <c r="L858" s="262"/>
      <c r="Q858" s="262"/>
      <c r="R858" s="262"/>
      <c r="S858" s="262"/>
      <c r="T858" s="262"/>
      <c r="U858" s="262"/>
      <c r="V858" s="262"/>
      <c r="W858" s="263"/>
      <c r="X858" s="263"/>
      <c r="Y858" s="263"/>
      <c r="Z858" s="263"/>
      <c r="AA858" s="263"/>
      <c r="AB858" s="263"/>
      <c r="AC858" s="263"/>
      <c r="AD858" s="263"/>
      <c r="AE858" s="263"/>
      <c r="AF858" s="263"/>
      <c r="AG858" s="263"/>
      <c r="AH858" s="263"/>
      <c r="AI858" s="263"/>
      <c r="AJ858" s="263"/>
      <c r="AK858" s="263"/>
    </row>
    <row r="859">
      <c r="L859" s="262"/>
      <c r="Q859" s="262"/>
      <c r="R859" s="262"/>
      <c r="S859" s="262"/>
      <c r="T859" s="262"/>
      <c r="U859" s="262"/>
      <c r="V859" s="262"/>
      <c r="W859" s="263"/>
      <c r="X859" s="263"/>
      <c r="Y859" s="263"/>
      <c r="Z859" s="263"/>
      <c r="AA859" s="263"/>
      <c r="AB859" s="263"/>
      <c r="AC859" s="263"/>
      <c r="AD859" s="263"/>
      <c r="AE859" s="263"/>
      <c r="AF859" s="263"/>
      <c r="AG859" s="263"/>
      <c r="AH859" s="263"/>
      <c r="AI859" s="263"/>
      <c r="AJ859" s="263"/>
      <c r="AK859" s="263"/>
    </row>
    <row r="860">
      <c r="L860" s="262"/>
      <c r="Q860" s="262"/>
      <c r="R860" s="262"/>
      <c r="S860" s="262"/>
      <c r="T860" s="262"/>
      <c r="U860" s="262"/>
      <c r="V860" s="262"/>
      <c r="W860" s="263"/>
      <c r="X860" s="263"/>
      <c r="Y860" s="263"/>
      <c r="Z860" s="263"/>
      <c r="AA860" s="263"/>
      <c r="AB860" s="263"/>
      <c r="AC860" s="263"/>
      <c r="AD860" s="263"/>
      <c r="AE860" s="263"/>
      <c r="AF860" s="263"/>
      <c r="AG860" s="263"/>
      <c r="AH860" s="263"/>
      <c r="AI860" s="263"/>
      <c r="AJ860" s="263"/>
      <c r="AK860" s="263"/>
    </row>
    <row r="861">
      <c r="L861" s="262"/>
      <c r="Q861" s="262"/>
      <c r="R861" s="262"/>
      <c r="S861" s="262"/>
      <c r="T861" s="262"/>
      <c r="U861" s="262"/>
      <c r="V861" s="262"/>
      <c r="W861" s="263"/>
      <c r="X861" s="263"/>
      <c r="Y861" s="263"/>
      <c r="Z861" s="263"/>
      <c r="AA861" s="263"/>
      <c r="AB861" s="263"/>
      <c r="AC861" s="263"/>
      <c r="AD861" s="263"/>
      <c r="AE861" s="263"/>
      <c r="AF861" s="263"/>
      <c r="AG861" s="263"/>
      <c r="AH861" s="263"/>
      <c r="AI861" s="263"/>
      <c r="AJ861" s="263"/>
      <c r="AK861" s="263"/>
    </row>
    <row r="862">
      <c r="L862" s="262"/>
      <c r="Q862" s="262"/>
      <c r="R862" s="262"/>
      <c r="S862" s="262"/>
      <c r="T862" s="262"/>
      <c r="U862" s="262"/>
      <c r="V862" s="262"/>
      <c r="W862" s="263"/>
      <c r="X862" s="263"/>
      <c r="Y862" s="263"/>
      <c r="Z862" s="263"/>
      <c r="AA862" s="263"/>
      <c r="AB862" s="263"/>
      <c r="AC862" s="263"/>
      <c r="AD862" s="263"/>
      <c r="AE862" s="263"/>
      <c r="AF862" s="263"/>
      <c r="AG862" s="263"/>
      <c r="AH862" s="263"/>
      <c r="AI862" s="263"/>
      <c r="AJ862" s="263"/>
      <c r="AK862" s="263"/>
    </row>
    <row r="863">
      <c r="L863" s="262"/>
      <c r="Q863" s="262"/>
      <c r="R863" s="262"/>
      <c r="S863" s="262"/>
      <c r="T863" s="262"/>
      <c r="U863" s="262"/>
      <c r="V863" s="262"/>
      <c r="W863" s="263"/>
      <c r="X863" s="263"/>
      <c r="Y863" s="263"/>
      <c r="Z863" s="263"/>
      <c r="AA863" s="263"/>
      <c r="AB863" s="263"/>
      <c r="AC863" s="263"/>
      <c r="AD863" s="263"/>
      <c r="AE863" s="263"/>
      <c r="AF863" s="263"/>
      <c r="AG863" s="263"/>
      <c r="AH863" s="263"/>
      <c r="AI863" s="263"/>
      <c r="AJ863" s="263"/>
      <c r="AK863" s="263"/>
    </row>
    <row r="864">
      <c r="L864" s="262"/>
      <c r="Q864" s="262"/>
      <c r="R864" s="262"/>
      <c r="S864" s="262"/>
      <c r="T864" s="262"/>
      <c r="U864" s="262"/>
      <c r="V864" s="262"/>
      <c r="W864" s="263"/>
      <c r="X864" s="263"/>
      <c r="Y864" s="263"/>
      <c r="Z864" s="263"/>
      <c r="AA864" s="263"/>
      <c r="AB864" s="263"/>
      <c r="AC864" s="263"/>
      <c r="AD864" s="263"/>
      <c r="AE864" s="263"/>
      <c r="AF864" s="263"/>
      <c r="AG864" s="263"/>
      <c r="AH864" s="263"/>
      <c r="AI864" s="263"/>
      <c r="AJ864" s="263"/>
      <c r="AK864" s="263"/>
    </row>
    <row r="865">
      <c r="L865" s="262"/>
      <c r="Q865" s="262"/>
      <c r="R865" s="262"/>
      <c r="S865" s="262"/>
      <c r="T865" s="262"/>
      <c r="U865" s="262"/>
      <c r="V865" s="262"/>
      <c r="W865" s="263"/>
      <c r="X865" s="263"/>
      <c r="Y865" s="263"/>
      <c r="Z865" s="263"/>
      <c r="AA865" s="263"/>
      <c r="AB865" s="263"/>
      <c r="AC865" s="263"/>
      <c r="AD865" s="263"/>
      <c r="AE865" s="263"/>
      <c r="AF865" s="263"/>
      <c r="AG865" s="263"/>
      <c r="AH865" s="263"/>
      <c r="AI865" s="263"/>
      <c r="AJ865" s="263"/>
      <c r="AK865" s="263"/>
    </row>
    <row r="866">
      <c r="L866" s="262"/>
      <c r="Q866" s="262"/>
      <c r="R866" s="262"/>
      <c r="S866" s="262"/>
      <c r="T866" s="262"/>
      <c r="U866" s="262"/>
      <c r="V866" s="262"/>
      <c r="W866" s="263"/>
      <c r="X866" s="263"/>
      <c r="Y866" s="263"/>
      <c r="Z866" s="263"/>
      <c r="AA866" s="263"/>
      <c r="AB866" s="263"/>
      <c r="AC866" s="263"/>
      <c r="AD866" s="263"/>
      <c r="AE866" s="263"/>
      <c r="AF866" s="263"/>
      <c r="AG866" s="263"/>
      <c r="AH866" s="263"/>
      <c r="AI866" s="263"/>
      <c r="AJ866" s="263"/>
      <c r="AK866" s="263"/>
    </row>
    <row r="867">
      <c r="L867" s="262"/>
      <c r="Q867" s="262"/>
      <c r="R867" s="262"/>
      <c r="S867" s="262"/>
      <c r="T867" s="262"/>
      <c r="U867" s="262"/>
      <c r="V867" s="262"/>
      <c r="W867" s="263"/>
      <c r="X867" s="263"/>
      <c r="Y867" s="263"/>
      <c r="Z867" s="263"/>
      <c r="AA867" s="263"/>
      <c r="AB867" s="263"/>
      <c r="AC867" s="263"/>
      <c r="AD867" s="263"/>
      <c r="AE867" s="263"/>
      <c r="AF867" s="263"/>
      <c r="AG867" s="263"/>
      <c r="AH867" s="263"/>
      <c r="AI867" s="263"/>
      <c r="AJ867" s="263"/>
      <c r="AK867" s="263"/>
    </row>
    <row r="868">
      <c r="L868" s="262"/>
      <c r="Q868" s="262"/>
      <c r="R868" s="262"/>
      <c r="S868" s="262"/>
      <c r="T868" s="262"/>
      <c r="U868" s="262"/>
      <c r="V868" s="262"/>
      <c r="W868" s="263"/>
      <c r="X868" s="263"/>
      <c r="Y868" s="263"/>
      <c r="Z868" s="263"/>
      <c r="AA868" s="263"/>
      <c r="AB868" s="263"/>
      <c r="AC868" s="263"/>
      <c r="AD868" s="263"/>
      <c r="AE868" s="263"/>
      <c r="AF868" s="263"/>
      <c r="AG868" s="263"/>
      <c r="AH868" s="263"/>
      <c r="AI868" s="263"/>
      <c r="AJ868" s="263"/>
      <c r="AK868" s="263"/>
    </row>
    <row r="869">
      <c r="L869" s="262"/>
      <c r="Q869" s="262"/>
      <c r="R869" s="262"/>
      <c r="S869" s="262"/>
      <c r="T869" s="262"/>
      <c r="U869" s="262"/>
      <c r="V869" s="262"/>
      <c r="W869" s="263"/>
      <c r="X869" s="263"/>
      <c r="Y869" s="263"/>
      <c r="Z869" s="263"/>
      <c r="AA869" s="263"/>
      <c r="AB869" s="263"/>
      <c r="AC869" s="263"/>
      <c r="AD869" s="263"/>
      <c r="AE869" s="263"/>
      <c r="AF869" s="263"/>
      <c r="AG869" s="263"/>
      <c r="AH869" s="263"/>
      <c r="AI869" s="263"/>
      <c r="AJ869" s="263"/>
      <c r="AK869" s="263"/>
    </row>
    <row r="870">
      <c r="L870" s="262"/>
      <c r="Q870" s="262"/>
      <c r="R870" s="262"/>
      <c r="S870" s="262"/>
      <c r="T870" s="262"/>
      <c r="U870" s="262"/>
      <c r="V870" s="262"/>
      <c r="W870" s="263"/>
      <c r="X870" s="263"/>
      <c r="Y870" s="263"/>
      <c r="Z870" s="263"/>
      <c r="AA870" s="263"/>
      <c r="AB870" s="263"/>
      <c r="AC870" s="263"/>
      <c r="AD870" s="263"/>
      <c r="AE870" s="263"/>
      <c r="AF870" s="263"/>
      <c r="AG870" s="263"/>
      <c r="AH870" s="263"/>
      <c r="AI870" s="263"/>
      <c r="AJ870" s="263"/>
      <c r="AK870" s="263"/>
    </row>
    <row r="871">
      <c r="L871" s="262"/>
      <c r="Q871" s="262"/>
      <c r="R871" s="262"/>
      <c r="S871" s="262"/>
      <c r="T871" s="262"/>
      <c r="U871" s="262"/>
      <c r="V871" s="262"/>
      <c r="W871" s="263"/>
      <c r="X871" s="263"/>
      <c r="Y871" s="263"/>
      <c r="Z871" s="263"/>
      <c r="AA871" s="263"/>
      <c r="AB871" s="263"/>
      <c r="AC871" s="263"/>
      <c r="AD871" s="263"/>
      <c r="AE871" s="263"/>
      <c r="AF871" s="263"/>
      <c r="AG871" s="263"/>
      <c r="AH871" s="263"/>
      <c r="AI871" s="263"/>
      <c r="AJ871" s="263"/>
      <c r="AK871" s="263"/>
    </row>
    <row r="872">
      <c r="L872" s="262"/>
      <c r="Q872" s="262"/>
      <c r="R872" s="262"/>
      <c r="S872" s="262"/>
      <c r="T872" s="262"/>
      <c r="U872" s="262"/>
      <c r="V872" s="262"/>
      <c r="W872" s="263"/>
      <c r="X872" s="263"/>
      <c r="Y872" s="263"/>
      <c r="Z872" s="263"/>
      <c r="AA872" s="263"/>
      <c r="AB872" s="263"/>
      <c r="AC872" s="263"/>
      <c r="AD872" s="263"/>
      <c r="AE872" s="263"/>
      <c r="AF872" s="263"/>
      <c r="AG872" s="263"/>
      <c r="AH872" s="263"/>
      <c r="AI872" s="263"/>
      <c r="AJ872" s="263"/>
      <c r="AK872" s="263"/>
    </row>
    <row r="873">
      <c r="L873" s="262"/>
      <c r="Q873" s="262"/>
      <c r="R873" s="262"/>
      <c r="S873" s="262"/>
      <c r="T873" s="262"/>
      <c r="U873" s="262"/>
      <c r="V873" s="262"/>
      <c r="W873" s="263"/>
      <c r="X873" s="263"/>
      <c r="Y873" s="263"/>
      <c r="Z873" s="263"/>
      <c r="AA873" s="263"/>
      <c r="AB873" s="263"/>
      <c r="AC873" s="263"/>
      <c r="AD873" s="263"/>
      <c r="AE873" s="263"/>
      <c r="AF873" s="263"/>
      <c r="AG873" s="263"/>
      <c r="AH873" s="263"/>
      <c r="AI873" s="263"/>
      <c r="AJ873" s="263"/>
      <c r="AK873" s="263"/>
    </row>
    <row r="874">
      <c r="L874" s="262"/>
      <c r="Q874" s="262"/>
      <c r="R874" s="262"/>
      <c r="S874" s="262"/>
      <c r="T874" s="262"/>
      <c r="U874" s="262"/>
      <c r="V874" s="262"/>
      <c r="W874" s="263"/>
      <c r="X874" s="263"/>
      <c r="Y874" s="263"/>
      <c r="Z874" s="263"/>
      <c r="AA874" s="263"/>
      <c r="AB874" s="263"/>
      <c r="AC874" s="263"/>
      <c r="AD874" s="263"/>
      <c r="AE874" s="263"/>
      <c r="AF874" s="263"/>
      <c r="AG874" s="263"/>
      <c r="AH874" s="263"/>
      <c r="AI874" s="263"/>
      <c r="AJ874" s="263"/>
      <c r="AK874" s="263"/>
    </row>
    <row r="875">
      <c r="L875" s="262"/>
      <c r="Q875" s="262"/>
      <c r="R875" s="262"/>
      <c r="S875" s="262"/>
      <c r="T875" s="262"/>
      <c r="U875" s="262"/>
      <c r="V875" s="262"/>
      <c r="W875" s="263"/>
      <c r="X875" s="263"/>
      <c r="Y875" s="263"/>
      <c r="Z875" s="263"/>
      <c r="AA875" s="263"/>
      <c r="AB875" s="263"/>
      <c r="AC875" s="263"/>
      <c r="AD875" s="263"/>
      <c r="AE875" s="263"/>
      <c r="AF875" s="263"/>
      <c r="AG875" s="263"/>
      <c r="AH875" s="263"/>
      <c r="AI875" s="263"/>
      <c r="AJ875" s="263"/>
      <c r="AK875" s="263"/>
    </row>
    <row r="876">
      <c r="L876" s="262"/>
      <c r="Q876" s="262"/>
      <c r="R876" s="262"/>
      <c r="S876" s="262"/>
      <c r="T876" s="262"/>
      <c r="U876" s="262"/>
      <c r="V876" s="262"/>
      <c r="W876" s="263"/>
      <c r="X876" s="263"/>
      <c r="Y876" s="263"/>
      <c r="Z876" s="263"/>
      <c r="AA876" s="263"/>
      <c r="AB876" s="263"/>
      <c r="AC876" s="263"/>
      <c r="AD876" s="263"/>
      <c r="AE876" s="263"/>
      <c r="AF876" s="263"/>
      <c r="AG876" s="263"/>
      <c r="AH876" s="263"/>
      <c r="AI876" s="263"/>
      <c r="AJ876" s="263"/>
      <c r="AK876" s="263"/>
    </row>
    <row r="877">
      <c r="L877" s="262"/>
      <c r="Q877" s="262"/>
      <c r="R877" s="262"/>
      <c r="S877" s="262"/>
      <c r="T877" s="262"/>
      <c r="U877" s="262"/>
      <c r="V877" s="262"/>
      <c r="W877" s="263"/>
      <c r="X877" s="263"/>
      <c r="Y877" s="263"/>
      <c r="Z877" s="263"/>
      <c r="AA877" s="263"/>
      <c r="AB877" s="263"/>
      <c r="AC877" s="263"/>
      <c r="AD877" s="263"/>
      <c r="AE877" s="263"/>
      <c r="AF877" s="263"/>
      <c r="AG877" s="263"/>
      <c r="AH877" s="263"/>
      <c r="AI877" s="263"/>
      <c r="AJ877" s="263"/>
      <c r="AK877" s="263"/>
    </row>
    <row r="878">
      <c r="L878" s="262"/>
      <c r="Q878" s="262"/>
      <c r="R878" s="262"/>
      <c r="S878" s="262"/>
      <c r="T878" s="262"/>
      <c r="U878" s="262"/>
      <c r="V878" s="262"/>
      <c r="W878" s="263"/>
      <c r="X878" s="263"/>
      <c r="Y878" s="263"/>
      <c r="Z878" s="263"/>
      <c r="AA878" s="263"/>
      <c r="AB878" s="263"/>
      <c r="AC878" s="263"/>
      <c r="AD878" s="263"/>
      <c r="AE878" s="263"/>
      <c r="AF878" s="263"/>
      <c r="AG878" s="263"/>
      <c r="AH878" s="263"/>
      <c r="AI878" s="263"/>
      <c r="AJ878" s="263"/>
      <c r="AK878" s="263"/>
    </row>
    <row r="879">
      <c r="L879" s="262"/>
      <c r="Q879" s="262"/>
      <c r="R879" s="262"/>
      <c r="S879" s="262"/>
      <c r="T879" s="262"/>
      <c r="U879" s="262"/>
      <c r="V879" s="262"/>
      <c r="W879" s="263"/>
      <c r="X879" s="263"/>
      <c r="Y879" s="263"/>
      <c r="Z879" s="263"/>
      <c r="AA879" s="263"/>
      <c r="AB879" s="263"/>
      <c r="AC879" s="263"/>
      <c r="AD879" s="263"/>
      <c r="AE879" s="263"/>
      <c r="AF879" s="263"/>
      <c r="AG879" s="263"/>
      <c r="AH879" s="263"/>
      <c r="AI879" s="263"/>
      <c r="AJ879" s="263"/>
      <c r="AK879" s="263"/>
    </row>
    <row r="880">
      <c r="L880" s="262"/>
      <c r="Q880" s="262"/>
      <c r="R880" s="262"/>
      <c r="S880" s="262"/>
      <c r="T880" s="262"/>
      <c r="U880" s="262"/>
      <c r="V880" s="262"/>
      <c r="W880" s="263"/>
      <c r="X880" s="263"/>
      <c r="Y880" s="263"/>
      <c r="Z880" s="263"/>
      <c r="AA880" s="263"/>
      <c r="AB880" s="263"/>
      <c r="AC880" s="263"/>
      <c r="AD880" s="263"/>
      <c r="AE880" s="263"/>
      <c r="AF880" s="263"/>
      <c r="AG880" s="263"/>
      <c r="AH880" s="263"/>
      <c r="AI880" s="263"/>
      <c r="AJ880" s="263"/>
      <c r="AK880" s="263"/>
    </row>
    <row r="881">
      <c r="L881" s="262"/>
      <c r="Q881" s="262"/>
      <c r="R881" s="262"/>
      <c r="S881" s="262"/>
      <c r="T881" s="262"/>
      <c r="U881" s="262"/>
      <c r="V881" s="262"/>
      <c r="W881" s="263"/>
      <c r="X881" s="263"/>
      <c r="Y881" s="263"/>
      <c r="Z881" s="263"/>
      <c r="AA881" s="263"/>
      <c r="AB881" s="263"/>
      <c r="AC881" s="263"/>
      <c r="AD881" s="263"/>
      <c r="AE881" s="263"/>
      <c r="AF881" s="263"/>
      <c r="AG881" s="263"/>
      <c r="AH881" s="263"/>
      <c r="AI881" s="263"/>
      <c r="AJ881" s="263"/>
      <c r="AK881" s="263"/>
    </row>
    <row r="882">
      <c r="L882" s="262"/>
      <c r="Q882" s="262"/>
      <c r="R882" s="262"/>
      <c r="S882" s="262"/>
      <c r="T882" s="262"/>
      <c r="U882" s="262"/>
      <c r="V882" s="262"/>
      <c r="W882" s="263"/>
      <c r="X882" s="263"/>
      <c r="Y882" s="263"/>
      <c r="Z882" s="263"/>
      <c r="AA882" s="263"/>
      <c r="AB882" s="263"/>
      <c r="AC882" s="263"/>
      <c r="AD882" s="263"/>
      <c r="AE882" s="263"/>
      <c r="AF882" s="263"/>
      <c r="AG882" s="263"/>
      <c r="AH882" s="263"/>
      <c r="AI882" s="263"/>
      <c r="AJ882" s="263"/>
      <c r="AK882" s="263"/>
    </row>
    <row r="883">
      <c r="L883" s="262"/>
      <c r="Q883" s="262"/>
      <c r="R883" s="262"/>
      <c r="S883" s="262"/>
      <c r="T883" s="262"/>
      <c r="U883" s="262"/>
      <c r="V883" s="262"/>
      <c r="W883" s="263"/>
      <c r="X883" s="263"/>
      <c r="Y883" s="263"/>
      <c r="Z883" s="263"/>
      <c r="AA883" s="263"/>
      <c r="AB883" s="263"/>
      <c r="AC883" s="263"/>
      <c r="AD883" s="263"/>
      <c r="AE883" s="263"/>
      <c r="AF883" s="263"/>
      <c r="AG883" s="263"/>
      <c r="AH883" s="263"/>
      <c r="AI883" s="263"/>
      <c r="AJ883" s="263"/>
      <c r="AK883" s="263"/>
    </row>
    <row r="884">
      <c r="L884" s="262"/>
      <c r="Q884" s="262"/>
      <c r="R884" s="262"/>
      <c r="S884" s="262"/>
      <c r="T884" s="262"/>
      <c r="U884" s="262"/>
      <c r="V884" s="262"/>
      <c r="W884" s="263"/>
      <c r="X884" s="263"/>
      <c r="Y884" s="263"/>
      <c r="Z884" s="263"/>
      <c r="AA884" s="263"/>
      <c r="AB884" s="263"/>
      <c r="AC884" s="263"/>
      <c r="AD884" s="263"/>
      <c r="AE884" s="263"/>
      <c r="AF884" s="263"/>
      <c r="AG884" s="263"/>
      <c r="AH884" s="263"/>
      <c r="AI884" s="263"/>
      <c r="AJ884" s="263"/>
      <c r="AK884" s="263"/>
    </row>
    <row r="885">
      <c r="L885" s="262"/>
      <c r="Q885" s="262"/>
      <c r="R885" s="262"/>
      <c r="S885" s="262"/>
      <c r="T885" s="262"/>
      <c r="U885" s="262"/>
      <c r="V885" s="262"/>
      <c r="W885" s="263"/>
      <c r="X885" s="263"/>
      <c r="Y885" s="263"/>
      <c r="Z885" s="263"/>
      <c r="AA885" s="263"/>
      <c r="AB885" s="263"/>
      <c r="AC885" s="263"/>
      <c r="AD885" s="263"/>
      <c r="AE885" s="263"/>
      <c r="AF885" s="263"/>
      <c r="AG885" s="263"/>
      <c r="AH885" s="263"/>
      <c r="AI885" s="263"/>
      <c r="AJ885" s="263"/>
      <c r="AK885" s="263"/>
    </row>
    <row r="886">
      <c r="L886" s="262"/>
      <c r="Q886" s="262"/>
      <c r="R886" s="262"/>
      <c r="S886" s="262"/>
      <c r="T886" s="262"/>
      <c r="U886" s="262"/>
      <c r="V886" s="262"/>
      <c r="W886" s="263"/>
      <c r="X886" s="263"/>
      <c r="Y886" s="263"/>
      <c r="Z886" s="263"/>
      <c r="AA886" s="263"/>
      <c r="AB886" s="263"/>
      <c r="AC886" s="263"/>
      <c r="AD886" s="263"/>
      <c r="AE886" s="263"/>
      <c r="AF886" s="263"/>
      <c r="AG886" s="263"/>
      <c r="AH886" s="263"/>
      <c r="AI886" s="263"/>
      <c r="AJ886" s="263"/>
      <c r="AK886" s="263"/>
    </row>
    <row r="887">
      <c r="L887" s="262"/>
      <c r="Q887" s="262"/>
      <c r="R887" s="262"/>
      <c r="S887" s="262"/>
      <c r="T887" s="262"/>
      <c r="U887" s="262"/>
      <c r="V887" s="262"/>
      <c r="W887" s="263"/>
      <c r="X887" s="263"/>
      <c r="Y887" s="263"/>
      <c r="Z887" s="263"/>
      <c r="AA887" s="263"/>
      <c r="AB887" s="263"/>
      <c r="AC887" s="263"/>
      <c r="AD887" s="263"/>
      <c r="AE887" s="263"/>
      <c r="AF887" s="263"/>
      <c r="AG887" s="263"/>
      <c r="AH887" s="263"/>
      <c r="AI887" s="263"/>
      <c r="AJ887" s="263"/>
      <c r="AK887" s="263"/>
    </row>
    <row r="888">
      <c r="L888" s="262"/>
      <c r="Q888" s="262"/>
      <c r="R888" s="262"/>
      <c r="S888" s="262"/>
      <c r="T888" s="262"/>
      <c r="U888" s="262"/>
      <c r="V888" s="262"/>
      <c r="W888" s="263"/>
      <c r="X888" s="263"/>
      <c r="Y888" s="263"/>
      <c r="Z888" s="263"/>
      <c r="AA888" s="263"/>
      <c r="AB888" s="263"/>
      <c r="AC888" s="263"/>
      <c r="AD888" s="263"/>
      <c r="AE888" s="263"/>
      <c r="AF888" s="263"/>
      <c r="AG888" s="263"/>
      <c r="AH888" s="263"/>
      <c r="AI888" s="263"/>
      <c r="AJ888" s="263"/>
      <c r="AK888" s="263"/>
    </row>
    <row r="889">
      <c r="L889" s="262"/>
      <c r="Q889" s="262"/>
      <c r="R889" s="262"/>
      <c r="S889" s="262"/>
      <c r="T889" s="262"/>
      <c r="U889" s="262"/>
      <c r="V889" s="262"/>
      <c r="W889" s="263"/>
      <c r="X889" s="263"/>
      <c r="Y889" s="263"/>
      <c r="Z889" s="263"/>
      <c r="AA889" s="263"/>
      <c r="AB889" s="263"/>
      <c r="AC889" s="263"/>
      <c r="AD889" s="263"/>
      <c r="AE889" s="263"/>
      <c r="AF889" s="263"/>
      <c r="AG889" s="263"/>
      <c r="AH889" s="263"/>
      <c r="AI889" s="263"/>
      <c r="AJ889" s="263"/>
      <c r="AK889" s="263"/>
    </row>
    <row r="890">
      <c r="L890" s="262"/>
      <c r="Q890" s="262"/>
      <c r="R890" s="262"/>
      <c r="S890" s="262"/>
      <c r="T890" s="262"/>
      <c r="U890" s="262"/>
      <c r="V890" s="262"/>
      <c r="W890" s="263"/>
      <c r="X890" s="263"/>
      <c r="Y890" s="263"/>
      <c r="Z890" s="263"/>
      <c r="AA890" s="263"/>
      <c r="AB890" s="263"/>
      <c r="AC890" s="263"/>
      <c r="AD890" s="263"/>
      <c r="AE890" s="263"/>
      <c r="AF890" s="263"/>
      <c r="AG890" s="263"/>
      <c r="AH890" s="263"/>
      <c r="AI890" s="263"/>
      <c r="AJ890" s="263"/>
      <c r="AK890" s="263"/>
    </row>
    <row r="891">
      <c r="L891" s="262"/>
      <c r="Q891" s="262"/>
      <c r="R891" s="262"/>
      <c r="S891" s="262"/>
      <c r="T891" s="262"/>
      <c r="U891" s="262"/>
      <c r="V891" s="262"/>
      <c r="W891" s="263"/>
      <c r="X891" s="263"/>
      <c r="Y891" s="263"/>
      <c r="Z891" s="263"/>
      <c r="AA891" s="263"/>
      <c r="AB891" s="263"/>
      <c r="AC891" s="263"/>
      <c r="AD891" s="263"/>
      <c r="AE891" s="263"/>
      <c r="AF891" s="263"/>
      <c r="AG891" s="263"/>
      <c r="AH891" s="263"/>
      <c r="AI891" s="263"/>
      <c r="AJ891" s="263"/>
      <c r="AK891" s="263"/>
    </row>
    <row r="892">
      <c r="L892" s="262"/>
      <c r="Q892" s="262"/>
      <c r="R892" s="262"/>
      <c r="S892" s="262"/>
      <c r="T892" s="262"/>
      <c r="U892" s="262"/>
      <c r="V892" s="262"/>
      <c r="W892" s="263"/>
      <c r="X892" s="263"/>
      <c r="Y892" s="263"/>
      <c r="Z892" s="263"/>
      <c r="AA892" s="263"/>
      <c r="AB892" s="263"/>
      <c r="AC892" s="263"/>
      <c r="AD892" s="263"/>
      <c r="AE892" s="263"/>
      <c r="AF892" s="263"/>
      <c r="AG892" s="263"/>
      <c r="AH892" s="263"/>
      <c r="AI892" s="263"/>
      <c r="AJ892" s="263"/>
      <c r="AK892" s="263"/>
    </row>
    <row r="893">
      <c r="L893" s="262"/>
      <c r="Q893" s="262"/>
      <c r="R893" s="262"/>
      <c r="S893" s="262"/>
      <c r="T893" s="262"/>
      <c r="U893" s="262"/>
      <c r="V893" s="262"/>
      <c r="W893" s="263"/>
      <c r="X893" s="263"/>
      <c r="Y893" s="263"/>
      <c r="Z893" s="263"/>
      <c r="AA893" s="263"/>
      <c r="AB893" s="263"/>
      <c r="AC893" s="263"/>
      <c r="AD893" s="263"/>
      <c r="AE893" s="263"/>
      <c r="AF893" s="263"/>
      <c r="AG893" s="263"/>
      <c r="AH893" s="263"/>
      <c r="AI893" s="263"/>
      <c r="AJ893" s="263"/>
      <c r="AK893" s="263"/>
    </row>
    <row r="894">
      <c r="L894" s="262"/>
      <c r="Q894" s="262"/>
      <c r="R894" s="262"/>
      <c r="S894" s="262"/>
      <c r="T894" s="262"/>
      <c r="U894" s="262"/>
      <c r="V894" s="262"/>
      <c r="W894" s="263"/>
      <c r="X894" s="263"/>
      <c r="Y894" s="263"/>
      <c r="Z894" s="263"/>
      <c r="AA894" s="263"/>
      <c r="AB894" s="263"/>
      <c r="AC894" s="263"/>
      <c r="AD894" s="263"/>
      <c r="AE894" s="263"/>
      <c r="AF894" s="263"/>
      <c r="AG894" s="263"/>
      <c r="AH894" s="263"/>
      <c r="AI894" s="263"/>
      <c r="AJ894" s="263"/>
      <c r="AK894" s="263"/>
    </row>
    <row r="895">
      <c r="L895" s="262"/>
      <c r="Q895" s="262"/>
      <c r="R895" s="262"/>
      <c r="S895" s="262"/>
      <c r="T895" s="262"/>
      <c r="U895" s="262"/>
      <c r="V895" s="262"/>
      <c r="W895" s="263"/>
      <c r="X895" s="263"/>
      <c r="Y895" s="263"/>
      <c r="Z895" s="263"/>
      <c r="AA895" s="263"/>
      <c r="AB895" s="263"/>
      <c r="AC895" s="263"/>
      <c r="AD895" s="263"/>
      <c r="AE895" s="263"/>
      <c r="AF895" s="263"/>
      <c r="AG895" s="263"/>
      <c r="AH895" s="263"/>
      <c r="AI895" s="263"/>
      <c r="AJ895" s="263"/>
      <c r="AK895" s="263"/>
    </row>
    <row r="896">
      <c r="L896" s="262"/>
      <c r="Q896" s="262"/>
      <c r="R896" s="262"/>
      <c r="S896" s="262"/>
      <c r="T896" s="262"/>
      <c r="U896" s="262"/>
      <c r="V896" s="262"/>
      <c r="W896" s="263"/>
      <c r="X896" s="263"/>
      <c r="Y896" s="263"/>
      <c r="Z896" s="263"/>
      <c r="AA896" s="263"/>
      <c r="AB896" s="263"/>
      <c r="AC896" s="263"/>
      <c r="AD896" s="263"/>
      <c r="AE896" s="263"/>
      <c r="AF896" s="263"/>
      <c r="AG896" s="263"/>
      <c r="AH896" s="263"/>
      <c r="AI896" s="263"/>
      <c r="AJ896" s="263"/>
      <c r="AK896" s="263"/>
    </row>
    <row r="897">
      <c r="L897" s="262"/>
      <c r="Q897" s="262"/>
      <c r="R897" s="262"/>
      <c r="S897" s="262"/>
      <c r="T897" s="262"/>
      <c r="U897" s="262"/>
      <c r="V897" s="262"/>
      <c r="W897" s="263"/>
      <c r="X897" s="263"/>
      <c r="Y897" s="263"/>
      <c r="Z897" s="263"/>
      <c r="AA897" s="263"/>
      <c r="AB897" s="263"/>
      <c r="AC897" s="263"/>
      <c r="AD897" s="263"/>
      <c r="AE897" s="263"/>
      <c r="AF897" s="263"/>
      <c r="AG897" s="263"/>
      <c r="AH897" s="263"/>
      <c r="AI897" s="263"/>
      <c r="AJ897" s="263"/>
      <c r="AK897" s="263"/>
    </row>
    <row r="898">
      <c r="L898" s="262"/>
      <c r="Q898" s="262"/>
      <c r="R898" s="262"/>
      <c r="S898" s="262"/>
      <c r="T898" s="262"/>
      <c r="U898" s="262"/>
      <c r="V898" s="262"/>
      <c r="W898" s="263"/>
      <c r="X898" s="263"/>
      <c r="Y898" s="263"/>
      <c r="Z898" s="263"/>
      <c r="AA898" s="263"/>
      <c r="AB898" s="263"/>
      <c r="AC898" s="263"/>
      <c r="AD898" s="263"/>
      <c r="AE898" s="263"/>
      <c r="AF898" s="263"/>
      <c r="AG898" s="263"/>
      <c r="AH898" s="263"/>
      <c r="AI898" s="263"/>
      <c r="AJ898" s="263"/>
      <c r="AK898" s="263"/>
    </row>
    <row r="899">
      <c r="L899" s="262"/>
      <c r="Q899" s="262"/>
      <c r="R899" s="262"/>
      <c r="S899" s="262"/>
      <c r="T899" s="262"/>
      <c r="U899" s="262"/>
      <c r="V899" s="262"/>
      <c r="W899" s="263"/>
      <c r="X899" s="263"/>
      <c r="Y899" s="263"/>
      <c r="Z899" s="263"/>
      <c r="AA899" s="263"/>
      <c r="AB899" s="263"/>
      <c r="AC899" s="263"/>
      <c r="AD899" s="263"/>
      <c r="AE899" s="263"/>
      <c r="AF899" s="263"/>
      <c r="AG899" s="263"/>
      <c r="AH899" s="263"/>
      <c r="AI899" s="263"/>
      <c r="AJ899" s="263"/>
      <c r="AK899" s="263"/>
    </row>
    <row r="900">
      <c r="L900" s="262"/>
      <c r="Q900" s="262"/>
      <c r="R900" s="262"/>
      <c r="S900" s="262"/>
      <c r="T900" s="262"/>
      <c r="U900" s="262"/>
      <c r="V900" s="262"/>
      <c r="W900" s="263"/>
      <c r="X900" s="263"/>
      <c r="Y900" s="263"/>
      <c r="Z900" s="263"/>
      <c r="AA900" s="263"/>
      <c r="AB900" s="263"/>
      <c r="AC900" s="263"/>
      <c r="AD900" s="263"/>
      <c r="AE900" s="263"/>
      <c r="AF900" s="263"/>
      <c r="AG900" s="263"/>
      <c r="AH900" s="263"/>
      <c r="AI900" s="263"/>
      <c r="AJ900" s="263"/>
      <c r="AK900" s="263"/>
    </row>
    <row r="901">
      <c r="L901" s="262"/>
      <c r="Q901" s="262"/>
      <c r="R901" s="262"/>
      <c r="S901" s="262"/>
      <c r="T901" s="262"/>
      <c r="U901" s="262"/>
      <c r="V901" s="262"/>
      <c r="W901" s="263"/>
      <c r="X901" s="263"/>
      <c r="Y901" s="263"/>
      <c r="Z901" s="263"/>
      <c r="AA901" s="263"/>
      <c r="AB901" s="263"/>
      <c r="AC901" s="263"/>
      <c r="AD901" s="263"/>
      <c r="AE901" s="263"/>
      <c r="AF901" s="263"/>
      <c r="AG901" s="263"/>
      <c r="AH901" s="263"/>
      <c r="AI901" s="263"/>
      <c r="AJ901" s="263"/>
      <c r="AK901" s="263"/>
    </row>
    <row r="902">
      <c r="L902" s="262"/>
      <c r="Q902" s="262"/>
      <c r="R902" s="262"/>
      <c r="S902" s="262"/>
      <c r="T902" s="262"/>
      <c r="U902" s="262"/>
      <c r="V902" s="262"/>
      <c r="W902" s="263"/>
      <c r="X902" s="263"/>
      <c r="Y902" s="263"/>
      <c r="Z902" s="263"/>
      <c r="AA902" s="263"/>
      <c r="AB902" s="263"/>
      <c r="AC902" s="263"/>
      <c r="AD902" s="263"/>
      <c r="AE902" s="263"/>
      <c r="AF902" s="263"/>
      <c r="AG902" s="263"/>
      <c r="AH902" s="263"/>
      <c r="AI902" s="263"/>
      <c r="AJ902" s="263"/>
      <c r="AK902" s="263"/>
    </row>
    <row r="903">
      <c r="L903" s="262"/>
      <c r="Q903" s="262"/>
      <c r="R903" s="262"/>
      <c r="S903" s="262"/>
      <c r="T903" s="262"/>
      <c r="U903" s="262"/>
      <c r="V903" s="262"/>
      <c r="W903" s="263"/>
      <c r="X903" s="263"/>
      <c r="Y903" s="263"/>
      <c r="Z903" s="263"/>
      <c r="AA903" s="263"/>
      <c r="AB903" s="263"/>
      <c r="AC903" s="263"/>
      <c r="AD903" s="263"/>
      <c r="AE903" s="263"/>
      <c r="AF903" s="263"/>
      <c r="AG903" s="263"/>
      <c r="AH903" s="263"/>
      <c r="AI903" s="263"/>
      <c r="AJ903" s="263"/>
      <c r="AK903" s="263"/>
    </row>
    <row r="904">
      <c r="L904" s="262"/>
      <c r="Q904" s="262"/>
      <c r="R904" s="262"/>
      <c r="S904" s="262"/>
      <c r="T904" s="262"/>
      <c r="U904" s="262"/>
      <c r="V904" s="262"/>
      <c r="W904" s="263"/>
      <c r="X904" s="263"/>
      <c r="Y904" s="263"/>
      <c r="Z904" s="263"/>
      <c r="AA904" s="263"/>
      <c r="AB904" s="263"/>
      <c r="AC904" s="263"/>
      <c r="AD904" s="263"/>
      <c r="AE904" s="263"/>
      <c r="AF904" s="263"/>
      <c r="AG904" s="263"/>
      <c r="AH904" s="263"/>
      <c r="AI904" s="263"/>
      <c r="AJ904" s="263"/>
      <c r="AK904" s="263"/>
    </row>
    <row r="905">
      <c r="L905" s="262"/>
      <c r="Q905" s="262"/>
      <c r="R905" s="262"/>
      <c r="S905" s="262"/>
      <c r="T905" s="262"/>
      <c r="U905" s="262"/>
      <c r="V905" s="262"/>
      <c r="W905" s="263"/>
      <c r="X905" s="263"/>
      <c r="Y905" s="263"/>
      <c r="Z905" s="263"/>
      <c r="AA905" s="263"/>
      <c r="AB905" s="263"/>
      <c r="AC905" s="263"/>
      <c r="AD905" s="263"/>
      <c r="AE905" s="263"/>
      <c r="AF905" s="263"/>
      <c r="AG905" s="263"/>
      <c r="AH905" s="263"/>
      <c r="AI905" s="263"/>
      <c r="AJ905" s="263"/>
      <c r="AK905" s="263"/>
    </row>
    <row r="906">
      <c r="L906" s="262"/>
      <c r="Q906" s="262"/>
      <c r="R906" s="262"/>
      <c r="S906" s="262"/>
      <c r="T906" s="262"/>
      <c r="U906" s="262"/>
      <c r="V906" s="262"/>
      <c r="W906" s="263"/>
      <c r="X906" s="263"/>
      <c r="Y906" s="263"/>
      <c r="Z906" s="263"/>
      <c r="AA906" s="263"/>
      <c r="AB906" s="263"/>
      <c r="AC906" s="263"/>
      <c r="AD906" s="263"/>
      <c r="AE906" s="263"/>
      <c r="AF906" s="263"/>
      <c r="AG906" s="263"/>
      <c r="AH906" s="263"/>
      <c r="AI906" s="263"/>
      <c r="AJ906" s="263"/>
      <c r="AK906" s="263"/>
    </row>
    <row r="907">
      <c r="L907" s="262"/>
      <c r="Q907" s="262"/>
      <c r="R907" s="262"/>
      <c r="S907" s="262"/>
      <c r="T907" s="262"/>
      <c r="U907" s="262"/>
      <c r="V907" s="262"/>
      <c r="W907" s="263"/>
      <c r="X907" s="263"/>
      <c r="Y907" s="263"/>
      <c r="Z907" s="263"/>
      <c r="AA907" s="263"/>
      <c r="AB907" s="263"/>
      <c r="AC907" s="263"/>
      <c r="AD907" s="263"/>
      <c r="AE907" s="263"/>
      <c r="AF907" s="263"/>
      <c r="AG907" s="263"/>
      <c r="AH907" s="263"/>
      <c r="AI907" s="263"/>
      <c r="AJ907" s="263"/>
      <c r="AK907" s="263"/>
    </row>
    <row r="908">
      <c r="L908" s="262"/>
      <c r="Q908" s="262"/>
      <c r="R908" s="262"/>
      <c r="S908" s="262"/>
      <c r="T908" s="262"/>
      <c r="U908" s="262"/>
      <c r="V908" s="262"/>
      <c r="W908" s="263"/>
      <c r="X908" s="263"/>
      <c r="Y908" s="263"/>
      <c r="Z908" s="263"/>
      <c r="AA908" s="263"/>
      <c r="AB908" s="263"/>
      <c r="AC908" s="263"/>
      <c r="AD908" s="263"/>
      <c r="AE908" s="263"/>
      <c r="AF908" s="263"/>
      <c r="AG908" s="263"/>
      <c r="AH908" s="263"/>
      <c r="AI908" s="263"/>
      <c r="AJ908" s="263"/>
      <c r="AK908" s="263"/>
    </row>
    <row r="909">
      <c r="L909" s="262"/>
      <c r="Q909" s="262"/>
      <c r="R909" s="262"/>
      <c r="S909" s="262"/>
      <c r="T909" s="262"/>
      <c r="U909" s="262"/>
      <c r="V909" s="262"/>
      <c r="W909" s="263"/>
      <c r="X909" s="263"/>
      <c r="Y909" s="263"/>
      <c r="Z909" s="263"/>
      <c r="AA909" s="263"/>
      <c r="AB909" s="263"/>
      <c r="AC909" s="263"/>
      <c r="AD909" s="263"/>
      <c r="AE909" s="263"/>
      <c r="AF909" s="263"/>
      <c r="AG909" s="263"/>
      <c r="AH909" s="263"/>
      <c r="AI909" s="263"/>
      <c r="AJ909" s="263"/>
      <c r="AK909" s="263"/>
    </row>
    <row r="910">
      <c r="L910" s="262"/>
      <c r="Q910" s="262"/>
      <c r="R910" s="262"/>
      <c r="S910" s="262"/>
      <c r="T910" s="262"/>
      <c r="U910" s="262"/>
      <c r="V910" s="262"/>
      <c r="W910" s="263"/>
      <c r="X910" s="263"/>
      <c r="Y910" s="263"/>
      <c r="Z910" s="263"/>
      <c r="AA910" s="263"/>
      <c r="AB910" s="263"/>
      <c r="AC910" s="263"/>
      <c r="AD910" s="263"/>
      <c r="AE910" s="263"/>
      <c r="AF910" s="263"/>
      <c r="AG910" s="263"/>
      <c r="AH910" s="263"/>
      <c r="AI910" s="263"/>
      <c r="AJ910" s="263"/>
      <c r="AK910" s="263"/>
    </row>
    <row r="911">
      <c r="L911" s="262"/>
      <c r="Q911" s="262"/>
      <c r="R911" s="262"/>
      <c r="S911" s="262"/>
      <c r="T911" s="262"/>
      <c r="U911" s="262"/>
      <c r="V911" s="262"/>
      <c r="W911" s="263"/>
      <c r="X911" s="263"/>
      <c r="Y911" s="263"/>
      <c r="Z911" s="263"/>
      <c r="AA911" s="263"/>
      <c r="AB911" s="263"/>
      <c r="AC911" s="263"/>
      <c r="AD911" s="263"/>
      <c r="AE911" s="263"/>
      <c r="AF911" s="263"/>
      <c r="AG911" s="263"/>
      <c r="AH911" s="263"/>
      <c r="AI911" s="263"/>
      <c r="AJ911" s="263"/>
      <c r="AK911" s="263"/>
    </row>
    <row r="912">
      <c r="L912" s="262"/>
      <c r="Q912" s="262"/>
      <c r="R912" s="262"/>
      <c r="S912" s="262"/>
      <c r="T912" s="262"/>
      <c r="U912" s="262"/>
      <c r="V912" s="262"/>
      <c r="W912" s="263"/>
      <c r="X912" s="263"/>
      <c r="Y912" s="263"/>
      <c r="Z912" s="263"/>
      <c r="AA912" s="263"/>
      <c r="AB912" s="263"/>
      <c r="AC912" s="263"/>
      <c r="AD912" s="263"/>
      <c r="AE912" s="263"/>
      <c r="AF912" s="263"/>
      <c r="AG912" s="263"/>
      <c r="AH912" s="263"/>
      <c r="AI912" s="263"/>
      <c r="AJ912" s="263"/>
      <c r="AK912" s="263"/>
    </row>
    <row r="913">
      <c r="L913" s="262"/>
      <c r="Q913" s="262"/>
      <c r="R913" s="262"/>
      <c r="S913" s="262"/>
      <c r="T913" s="262"/>
      <c r="U913" s="262"/>
      <c r="V913" s="262"/>
      <c r="W913" s="263"/>
      <c r="X913" s="263"/>
      <c r="Y913" s="263"/>
      <c r="Z913" s="263"/>
      <c r="AA913" s="263"/>
      <c r="AB913" s="263"/>
      <c r="AC913" s="263"/>
      <c r="AD913" s="263"/>
      <c r="AE913" s="263"/>
      <c r="AF913" s="263"/>
      <c r="AG913" s="263"/>
      <c r="AH913" s="263"/>
      <c r="AI913" s="263"/>
      <c r="AJ913" s="263"/>
      <c r="AK913" s="263"/>
    </row>
    <row r="914">
      <c r="L914" s="262"/>
      <c r="Q914" s="262"/>
      <c r="R914" s="262"/>
      <c r="S914" s="262"/>
      <c r="T914" s="262"/>
      <c r="U914" s="262"/>
      <c r="V914" s="262"/>
      <c r="W914" s="263"/>
      <c r="X914" s="263"/>
      <c r="Y914" s="263"/>
      <c r="Z914" s="263"/>
      <c r="AA914" s="263"/>
      <c r="AB914" s="263"/>
      <c r="AC914" s="263"/>
      <c r="AD914" s="263"/>
      <c r="AE914" s="263"/>
      <c r="AF914" s="263"/>
      <c r="AG914" s="263"/>
      <c r="AH914" s="263"/>
      <c r="AI914" s="263"/>
      <c r="AJ914" s="263"/>
      <c r="AK914" s="263"/>
    </row>
    <row r="915">
      <c r="L915" s="262"/>
      <c r="Q915" s="262"/>
      <c r="R915" s="262"/>
      <c r="S915" s="262"/>
      <c r="T915" s="262"/>
      <c r="U915" s="262"/>
      <c r="V915" s="262"/>
      <c r="W915" s="263"/>
      <c r="X915" s="263"/>
      <c r="Y915" s="263"/>
      <c r="Z915" s="263"/>
      <c r="AA915" s="263"/>
      <c r="AB915" s="263"/>
      <c r="AC915" s="263"/>
      <c r="AD915" s="263"/>
      <c r="AE915" s="263"/>
      <c r="AF915" s="263"/>
      <c r="AG915" s="263"/>
      <c r="AH915" s="263"/>
      <c r="AI915" s="263"/>
      <c r="AJ915" s="263"/>
      <c r="AK915" s="263"/>
    </row>
    <row r="916">
      <c r="L916" s="262"/>
      <c r="Q916" s="262"/>
      <c r="R916" s="262"/>
      <c r="S916" s="262"/>
      <c r="T916" s="262"/>
      <c r="U916" s="262"/>
      <c r="V916" s="262"/>
      <c r="W916" s="263"/>
      <c r="X916" s="263"/>
      <c r="Y916" s="263"/>
      <c r="Z916" s="263"/>
      <c r="AA916" s="263"/>
      <c r="AB916" s="263"/>
      <c r="AC916" s="263"/>
      <c r="AD916" s="263"/>
      <c r="AE916" s="263"/>
      <c r="AF916" s="263"/>
      <c r="AG916" s="263"/>
      <c r="AH916" s="263"/>
      <c r="AI916" s="263"/>
      <c r="AJ916" s="263"/>
      <c r="AK916" s="263"/>
    </row>
    <row r="917">
      <c r="L917" s="262"/>
      <c r="Q917" s="262"/>
      <c r="R917" s="262"/>
      <c r="S917" s="262"/>
      <c r="T917" s="262"/>
      <c r="U917" s="262"/>
      <c r="V917" s="262"/>
      <c r="W917" s="263"/>
      <c r="X917" s="263"/>
      <c r="Y917" s="263"/>
      <c r="Z917" s="263"/>
      <c r="AA917" s="263"/>
      <c r="AB917" s="263"/>
      <c r="AC917" s="263"/>
      <c r="AD917" s="263"/>
      <c r="AE917" s="263"/>
      <c r="AF917" s="263"/>
      <c r="AG917" s="263"/>
      <c r="AH917" s="263"/>
      <c r="AI917" s="263"/>
      <c r="AJ917" s="263"/>
      <c r="AK917" s="263"/>
    </row>
    <row r="918">
      <c r="L918" s="262"/>
      <c r="Q918" s="262"/>
      <c r="R918" s="262"/>
      <c r="S918" s="262"/>
      <c r="T918" s="262"/>
      <c r="U918" s="262"/>
      <c r="V918" s="262"/>
      <c r="W918" s="263"/>
      <c r="X918" s="263"/>
      <c r="Y918" s="263"/>
      <c r="Z918" s="263"/>
      <c r="AA918" s="263"/>
      <c r="AB918" s="263"/>
      <c r="AC918" s="263"/>
      <c r="AD918" s="263"/>
      <c r="AE918" s="263"/>
      <c r="AF918" s="263"/>
      <c r="AG918" s="263"/>
      <c r="AH918" s="263"/>
      <c r="AI918" s="263"/>
      <c r="AJ918" s="263"/>
      <c r="AK918" s="263"/>
    </row>
    <row r="919">
      <c r="L919" s="262"/>
      <c r="Q919" s="262"/>
      <c r="R919" s="262"/>
      <c r="S919" s="262"/>
      <c r="T919" s="262"/>
      <c r="U919" s="262"/>
      <c r="V919" s="262"/>
      <c r="W919" s="263"/>
      <c r="X919" s="263"/>
      <c r="Y919" s="263"/>
      <c r="Z919" s="263"/>
      <c r="AA919" s="263"/>
      <c r="AB919" s="263"/>
      <c r="AC919" s="263"/>
      <c r="AD919" s="263"/>
      <c r="AE919" s="263"/>
      <c r="AF919" s="263"/>
      <c r="AG919" s="263"/>
      <c r="AH919" s="263"/>
      <c r="AI919" s="263"/>
      <c r="AJ919" s="263"/>
      <c r="AK919" s="263"/>
    </row>
    <row r="920">
      <c r="L920" s="262"/>
      <c r="Q920" s="262"/>
      <c r="R920" s="262"/>
      <c r="S920" s="262"/>
      <c r="T920" s="262"/>
      <c r="U920" s="262"/>
      <c r="V920" s="262"/>
      <c r="W920" s="263"/>
      <c r="X920" s="263"/>
      <c r="Y920" s="263"/>
      <c r="Z920" s="263"/>
      <c r="AA920" s="263"/>
      <c r="AB920" s="263"/>
      <c r="AC920" s="263"/>
      <c r="AD920" s="263"/>
      <c r="AE920" s="263"/>
      <c r="AF920" s="263"/>
      <c r="AG920" s="263"/>
      <c r="AH920" s="263"/>
      <c r="AI920" s="263"/>
      <c r="AJ920" s="263"/>
      <c r="AK920" s="263"/>
    </row>
    <row r="921">
      <c r="L921" s="262"/>
      <c r="Q921" s="262"/>
      <c r="R921" s="262"/>
      <c r="S921" s="262"/>
      <c r="T921" s="262"/>
      <c r="U921" s="262"/>
      <c r="V921" s="262"/>
      <c r="W921" s="263"/>
      <c r="X921" s="263"/>
      <c r="Y921" s="263"/>
      <c r="Z921" s="263"/>
      <c r="AA921" s="263"/>
      <c r="AB921" s="263"/>
      <c r="AC921" s="263"/>
      <c r="AD921" s="263"/>
      <c r="AE921" s="263"/>
      <c r="AF921" s="263"/>
      <c r="AG921" s="263"/>
      <c r="AH921" s="263"/>
      <c r="AI921" s="263"/>
      <c r="AJ921" s="263"/>
      <c r="AK921" s="263"/>
    </row>
    <row r="922">
      <c r="L922" s="262"/>
      <c r="Q922" s="262"/>
      <c r="R922" s="262"/>
      <c r="S922" s="262"/>
      <c r="T922" s="262"/>
      <c r="U922" s="262"/>
      <c r="V922" s="262"/>
      <c r="W922" s="263"/>
      <c r="X922" s="263"/>
      <c r="Y922" s="263"/>
      <c r="Z922" s="263"/>
      <c r="AA922" s="263"/>
      <c r="AB922" s="263"/>
      <c r="AC922" s="263"/>
      <c r="AD922" s="263"/>
      <c r="AE922" s="263"/>
      <c r="AF922" s="263"/>
      <c r="AG922" s="263"/>
      <c r="AH922" s="263"/>
      <c r="AI922" s="263"/>
      <c r="AJ922" s="263"/>
      <c r="AK922" s="263"/>
    </row>
    <row r="923">
      <c r="L923" s="262"/>
      <c r="Q923" s="262"/>
      <c r="R923" s="262"/>
      <c r="S923" s="262"/>
      <c r="T923" s="262"/>
      <c r="U923" s="262"/>
      <c r="V923" s="262"/>
      <c r="W923" s="263"/>
      <c r="X923" s="263"/>
      <c r="Y923" s="263"/>
      <c r="Z923" s="263"/>
      <c r="AA923" s="263"/>
      <c r="AB923" s="263"/>
      <c r="AC923" s="263"/>
      <c r="AD923" s="263"/>
      <c r="AE923" s="263"/>
      <c r="AF923" s="263"/>
      <c r="AG923" s="263"/>
      <c r="AH923" s="263"/>
      <c r="AI923" s="263"/>
      <c r="AJ923" s="263"/>
      <c r="AK923" s="263"/>
    </row>
    <row r="924">
      <c r="L924" s="262"/>
      <c r="Q924" s="262"/>
      <c r="R924" s="262"/>
      <c r="S924" s="262"/>
      <c r="T924" s="262"/>
      <c r="U924" s="262"/>
      <c r="V924" s="262"/>
      <c r="W924" s="263"/>
      <c r="X924" s="263"/>
      <c r="Y924" s="263"/>
      <c r="Z924" s="263"/>
      <c r="AA924" s="263"/>
      <c r="AB924" s="263"/>
      <c r="AC924" s="263"/>
      <c r="AD924" s="263"/>
      <c r="AE924" s="263"/>
      <c r="AF924" s="263"/>
      <c r="AG924" s="263"/>
      <c r="AH924" s="263"/>
      <c r="AI924" s="263"/>
      <c r="AJ924" s="263"/>
      <c r="AK924" s="263"/>
    </row>
    <row r="925">
      <c r="L925" s="262"/>
      <c r="Q925" s="262"/>
      <c r="R925" s="262"/>
      <c r="S925" s="262"/>
      <c r="T925" s="262"/>
      <c r="U925" s="262"/>
      <c r="V925" s="262"/>
      <c r="W925" s="263"/>
      <c r="X925" s="263"/>
      <c r="Y925" s="263"/>
      <c r="Z925" s="263"/>
      <c r="AA925" s="263"/>
      <c r="AB925" s="263"/>
      <c r="AC925" s="263"/>
      <c r="AD925" s="263"/>
      <c r="AE925" s="263"/>
      <c r="AF925" s="263"/>
      <c r="AG925" s="263"/>
      <c r="AH925" s="263"/>
      <c r="AI925" s="263"/>
      <c r="AJ925" s="263"/>
      <c r="AK925" s="263"/>
    </row>
    <row r="926">
      <c r="L926" s="262"/>
      <c r="Q926" s="262"/>
      <c r="R926" s="262"/>
      <c r="S926" s="262"/>
      <c r="T926" s="262"/>
      <c r="U926" s="262"/>
      <c r="V926" s="262"/>
      <c r="W926" s="263"/>
      <c r="X926" s="263"/>
      <c r="Y926" s="263"/>
      <c r="Z926" s="263"/>
      <c r="AA926" s="263"/>
      <c r="AB926" s="263"/>
      <c r="AC926" s="263"/>
      <c r="AD926" s="263"/>
      <c r="AE926" s="263"/>
      <c r="AF926" s="263"/>
      <c r="AG926" s="263"/>
      <c r="AH926" s="263"/>
      <c r="AI926" s="263"/>
      <c r="AJ926" s="263"/>
      <c r="AK926" s="263"/>
    </row>
    <row r="927">
      <c r="L927" s="262"/>
      <c r="Q927" s="262"/>
      <c r="R927" s="262"/>
      <c r="S927" s="262"/>
      <c r="T927" s="262"/>
      <c r="U927" s="262"/>
      <c r="V927" s="262"/>
      <c r="W927" s="263"/>
      <c r="X927" s="263"/>
      <c r="Y927" s="263"/>
      <c r="Z927" s="263"/>
      <c r="AA927" s="263"/>
      <c r="AB927" s="263"/>
      <c r="AC927" s="263"/>
      <c r="AD927" s="263"/>
      <c r="AE927" s="263"/>
      <c r="AF927" s="263"/>
      <c r="AG927" s="263"/>
      <c r="AH927" s="263"/>
      <c r="AI927" s="263"/>
      <c r="AJ927" s="263"/>
      <c r="AK927" s="263"/>
    </row>
    <row r="928">
      <c r="L928" s="262"/>
      <c r="Q928" s="262"/>
      <c r="R928" s="262"/>
      <c r="S928" s="262"/>
      <c r="T928" s="262"/>
      <c r="U928" s="262"/>
      <c r="V928" s="262"/>
      <c r="W928" s="263"/>
      <c r="X928" s="263"/>
      <c r="Y928" s="263"/>
      <c r="Z928" s="263"/>
      <c r="AA928" s="263"/>
      <c r="AB928" s="263"/>
      <c r="AC928" s="263"/>
      <c r="AD928" s="263"/>
      <c r="AE928" s="263"/>
      <c r="AF928" s="263"/>
      <c r="AG928" s="263"/>
      <c r="AH928" s="263"/>
      <c r="AI928" s="263"/>
      <c r="AJ928" s="263"/>
      <c r="AK928" s="263"/>
    </row>
    <row r="929">
      <c r="L929" s="262"/>
      <c r="Q929" s="262"/>
      <c r="R929" s="262"/>
      <c r="S929" s="262"/>
      <c r="T929" s="262"/>
      <c r="U929" s="262"/>
      <c r="V929" s="262"/>
      <c r="W929" s="263"/>
      <c r="X929" s="263"/>
      <c r="Y929" s="263"/>
      <c r="Z929" s="263"/>
      <c r="AA929" s="263"/>
      <c r="AB929" s="263"/>
      <c r="AC929" s="263"/>
      <c r="AD929" s="263"/>
      <c r="AE929" s="263"/>
      <c r="AF929" s="263"/>
      <c r="AG929" s="263"/>
      <c r="AH929" s="263"/>
      <c r="AI929" s="263"/>
      <c r="AJ929" s="263"/>
      <c r="AK929" s="263"/>
    </row>
    <row r="930">
      <c r="L930" s="262"/>
      <c r="Q930" s="262"/>
      <c r="R930" s="262"/>
      <c r="S930" s="262"/>
      <c r="T930" s="262"/>
      <c r="U930" s="262"/>
      <c r="V930" s="262"/>
      <c r="W930" s="263"/>
      <c r="X930" s="263"/>
      <c r="Y930" s="263"/>
      <c r="Z930" s="263"/>
      <c r="AA930" s="263"/>
      <c r="AB930" s="263"/>
      <c r="AC930" s="263"/>
      <c r="AD930" s="263"/>
      <c r="AE930" s="263"/>
      <c r="AF930" s="263"/>
      <c r="AG930" s="263"/>
      <c r="AH930" s="263"/>
      <c r="AI930" s="263"/>
      <c r="AJ930" s="263"/>
      <c r="AK930" s="263"/>
    </row>
    <row r="931">
      <c r="L931" s="262"/>
      <c r="Q931" s="262"/>
      <c r="R931" s="262"/>
      <c r="S931" s="262"/>
      <c r="T931" s="262"/>
      <c r="U931" s="262"/>
      <c r="V931" s="262"/>
      <c r="W931" s="263"/>
      <c r="X931" s="263"/>
      <c r="Y931" s="263"/>
      <c r="Z931" s="263"/>
      <c r="AA931" s="263"/>
      <c r="AB931" s="263"/>
      <c r="AC931" s="263"/>
      <c r="AD931" s="263"/>
      <c r="AE931" s="263"/>
      <c r="AF931" s="263"/>
      <c r="AG931" s="263"/>
      <c r="AH931" s="263"/>
      <c r="AI931" s="263"/>
      <c r="AJ931" s="263"/>
      <c r="AK931" s="263"/>
    </row>
    <row r="932">
      <c r="L932" s="262"/>
      <c r="Q932" s="262"/>
      <c r="R932" s="262"/>
      <c r="S932" s="262"/>
      <c r="T932" s="262"/>
      <c r="U932" s="262"/>
      <c r="V932" s="262"/>
      <c r="W932" s="263"/>
      <c r="X932" s="263"/>
      <c r="Y932" s="263"/>
      <c r="Z932" s="263"/>
      <c r="AA932" s="263"/>
      <c r="AB932" s="263"/>
      <c r="AC932" s="263"/>
      <c r="AD932" s="263"/>
      <c r="AE932" s="263"/>
      <c r="AF932" s="263"/>
      <c r="AG932" s="263"/>
      <c r="AH932" s="263"/>
      <c r="AI932" s="263"/>
      <c r="AJ932" s="263"/>
      <c r="AK932" s="263"/>
    </row>
    <row r="933">
      <c r="L933" s="262"/>
      <c r="Q933" s="262"/>
      <c r="R933" s="262"/>
      <c r="S933" s="262"/>
      <c r="T933" s="262"/>
      <c r="U933" s="262"/>
      <c r="V933" s="262"/>
      <c r="W933" s="263"/>
      <c r="X933" s="263"/>
      <c r="Y933" s="263"/>
      <c r="Z933" s="263"/>
      <c r="AA933" s="263"/>
      <c r="AB933" s="263"/>
      <c r="AC933" s="263"/>
      <c r="AD933" s="263"/>
      <c r="AE933" s="263"/>
      <c r="AF933" s="263"/>
      <c r="AG933" s="263"/>
      <c r="AH933" s="263"/>
      <c r="AI933" s="263"/>
      <c r="AJ933" s="263"/>
      <c r="AK933" s="263"/>
    </row>
    <row r="934">
      <c r="L934" s="262"/>
      <c r="Q934" s="262"/>
      <c r="R934" s="262"/>
      <c r="S934" s="262"/>
      <c r="T934" s="262"/>
      <c r="U934" s="262"/>
      <c r="V934" s="262"/>
      <c r="W934" s="263"/>
      <c r="X934" s="263"/>
      <c r="Y934" s="263"/>
      <c r="Z934" s="263"/>
      <c r="AA934" s="263"/>
      <c r="AB934" s="263"/>
      <c r="AC934" s="263"/>
      <c r="AD934" s="263"/>
      <c r="AE934" s="263"/>
      <c r="AF934" s="263"/>
      <c r="AG934" s="263"/>
      <c r="AH934" s="263"/>
      <c r="AI934" s="263"/>
      <c r="AJ934" s="263"/>
      <c r="AK934" s="263"/>
    </row>
    <row r="935">
      <c r="L935" s="262"/>
      <c r="Q935" s="262"/>
      <c r="R935" s="262"/>
      <c r="S935" s="262"/>
      <c r="T935" s="262"/>
      <c r="U935" s="262"/>
      <c r="V935" s="262"/>
      <c r="W935" s="263"/>
      <c r="X935" s="263"/>
      <c r="Y935" s="263"/>
      <c r="Z935" s="263"/>
      <c r="AA935" s="263"/>
      <c r="AB935" s="263"/>
      <c r="AC935" s="263"/>
      <c r="AD935" s="263"/>
      <c r="AE935" s="263"/>
      <c r="AF935" s="263"/>
      <c r="AG935" s="263"/>
      <c r="AH935" s="263"/>
      <c r="AI935" s="263"/>
      <c r="AJ935" s="263"/>
      <c r="AK935" s="263"/>
    </row>
    <row r="936">
      <c r="L936" s="262"/>
      <c r="Q936" s="262"/>
      <c r="R936" s="262"/>
      <c r="S936" s="262"/>
      <c r="T936" s="262"/>
      <c r="U936" s="262"/>
      <c r="V936" s="262"/>
      <c r="W936" s="263"/>
      <c r="X936" s="263"/>
      <c r="Y936" s="263"/>
      <c r="Z936" s="263"/>
      <c r="AA936" s="263"/>
      <c r="AB936" s="263"/>
      <c r="AC936" s="263"/>
      <c r="AD936" s="263"/>
      <c r="AE936" s="263"/>
      <c r="AF936" s="263"/>
      <c r="AG936" s="263"/>
      <c r="AH936" s="263"/>
      <c r="AI936" s="263"/>
      <c r="AJ936" s="263"/>
      <c r="AK936" s="263"/>
    </row>
    <row r="937">
      <c r="L937" s="262"/>
      <c r="Q937" s="262"/>
      <c r="R937" s="262"/>
      <c r="S937" s="262"/>
      <c r="T937" s="262"/>
      <c r="U937" s="262"/>
      <c r="V937" s="262"/>
      <c r="W937" s="263"/>
      <c r="X937" s="263"/>
      <c r="Y937" s="263"/>
      <c r="Z937" s="263"/>
      <c r="AA937" s="263"/>
      <c r="AB937" s="263"/>
      <c r="AC937" s="263"/>
      <c r="AD937" s="263"/>
      <c r="AE937" s="263"/>
      <c r="AF937" s="263"/>
      <c r="AG937" s="263"/>
      <c r="AH937" s="263"/>
      <c r="AI937" s="263"/>
      <c r="AJ937" s="263"/>
      <c r="AK937" s="263"/>
    </row>
    <row r="938">
      <c r="L938" s="262"/>
      <c r="Q938" s="262"/>
      <c r="R938" s="262"/>
      <c r="S938" s="262"/>
      <c r="T938" s="262"/>
      <c r="U938" s="262"/>
      <c r="V938" s="262"/>
      <c r="W938" s="263"/>
      <c r="X938" s="263"/>
      <c r="Y938" s="263"/>
      <c r="Z938" s="263"/>
      <c r="AA938" s="263"/>
      <c r="AB938" s="263"/>
      <c r="AC938" s="263"/>
      <c r="AD938" s="263"/>
      <c r="AE938" s="263"/>
      <c r="AF938" s="263"/>
      <c r="AG938" s="263"/>
      <c r="AH938" s="263"/>
      <c r="AI938" s="263"/>
      <c r="AJ938" s="263"/>
      <c r="AK938" s="263"/>
    </row>
    <row r="939">
      <c r="L939" s="262"/>
      <c r="Q939" s="262"/>
      <c r="R939" s="262"/>
      <c r="S939" s="262"/>
      <c r="T939" s="262"/>
      <c r="U939" s="262"/>
      <c r="V939" s="262"/>
      <c r="W939" s="263"/>
      <c r="X939" s="263"/>
      <c r="Y939" s="263"/>
      <c r="Z939" s="263"/>
      <c r="AA939" s="263"/>
      <c r="AB939" s="263"/>
      <c r="AC939" s="263"/>
      <c r="AD939" s="263"/>
      <c r="AE939" s="263"/>
      <c r="AF939" s="263"/>
      <c r="AG939" s="263"/>
      <c r="AH939" s="263"/>
      <c r="AI939" s="263"/>
      <c r="AJ939" s="263"/>
      <c r="AK939" s="263"/>
    </row>
    <row r="940">
      <c r="L940" s="262"/>
      <c r="Q940" s="262"/>
      <c r="R940" s="262"/>
      <c r="S940" s="262"/>
      <c r="T940" s="262"/>
      <c r="U940" s="262"/>
      <c r="V940" s="262"/>
      <c r="W940" s="263"/>
      <c r="X940" s="263"/>
      <c r="Y940" s="263"/>
      <c r="Z940" s="263"/>
      <c r="AA940" s="263"/>
      <c r="AB940" s="263"/>
      <c r="AC940" s="263"/>
      <c r="AD940" s="263"/>
      <c r="AE940" s="263"/>
      <c r="AF940" s="263"/>
      <c r="AG940" s="263"/>
      <c r="AH940" s="263"/>
      <c r="AI940" s="263"/>
      <c r="AJ940" s="263"/>
      <c r="AK940" s="263"/>
    </row>
    <row r="941">
      <c r="L941" s="262"/>
      <c r="Q941" s="262"/>
      <c r="R941" s="262"/>
      <c r="S941" s="262"/>
      <c r="T941" s="262"/>
      <c r="U941" s="262"/>
      <c r="V941" s="262"/>
      <c r="W941" s="263"/>
      <c r="X941" s="263"/>
      <c r="Y941" s="263"/>
      <c r="Z941" s="263"/>
      <c r="AA941" s="263"/>
      <c r="AB941" s="263"/>
      <c r="AC941" s="263"/>
      <c r="AD941" s="263"/>
      <c r="AE941" s="263"/>
      <c r="AF941" s="263"/>
      <c r="AG941" s="263"/>
      <c r="AH941" s="263"/>
      <c r="AI941" s="263"/>
      <c r="AJ941" s="263"/>
      <c r="AK941" s="263"/>
    </row>
    <row r="942">
      <c r="L942" s="262"/>
      <c r="Q942" s="262"/>
      <c r="R942" s="262"/>
      <c r="S942" s="262"/>
      <c r="T942" s="262"/>
      <c r="U942" s="262"/>
      <c r="V942" s="262"/>
      <c r="W942" s="263"/>
      <c r="X942" s="263"/>
      <c r="Y942" s="263"/>
      <c r="Z942" s="263"/>
      <c r="AA942" s="263"/>
      <c r="AB942" s="263"/>
      <c r="AC942" s="263"/>
      <c r="AD942" s="263"/>
      <c r="AE942" s="263"/>
      <c r="AF942" s="263"/>
      <c r="AG942" s="263"/>
      <c r="AH942" s="263"/>
      <c r="AI942" s="263"/>
      <c r="AJ942" s="263"/>
      <c r="AK942" s="263"/>
    </row>
    <row r="943">
      <c r="L943" s="262"/>
      <c r="Q943" s="262"/>
      <c r="R943" s="262"/>
      <c r="S943" s="262"/>
      <c r="T943" s="262"/>
      <c r="U943" s="262"/>
      <c r="V943" s="262"/>
      <c r="W943" s="263"/>
      <c r="X943" s="263"/>
      <c r="Y943" s="263"/>
      <c r="Z943" s="263"/>
      <c r="AA943" s="263"/>
      <c r="AB943" s="263"/>
      <c r="AC943" s="263"/>
      <c r="AD943" s="263"/>
      <c r="AE943" s="263"/>
      <c r="AF943" s="263"/>
      <c r="AG943" s="263"/>
      <c r="AH943" s="263"/>
      <c r="AI943" s="263"/>
      <c r="AJ943" s="263"/>
      <c r="AK943" s="263"/>
    </row>
    <row r="944">
      <c r="L944" s="262"/>
      <c r="Q944" s="262"/>
      <c r="R944" s="262"/>
      <c r="S944" s="262"/>
      <c r="T944" s="262"/>
      <c r="U944" s="262"/>
      <c r="V944" s="262"/>
      <c r="W944" s="263"/>
      <c r="X944" s="263"/>
      <c r="Y944" s="263"/>
      <c r="Z944" s="263"/>
      <c r="AA944" s="263"/>
      <c r="AB944" s="263"/>
      <c r="AC944" s="263"/>
      <c r="AD944" s="263"/>
      <c r="AE944" s="263"/>
      <c r="AF944" s="263"/>
      <c r="AG944" s="263"/>
      <c r="AH944" s="263"/>
      <c r="AI944" s="263"/>
      <c r="AJ944" s="263"/>
      <c r="AK944" s="263"/>
    </row>
    <row r="945">
      <c r="L945" s="262"/>
      <c r="Q945" s="262"/>
      <c r="R945" s="262"/>
      <c r="S945" s="262"/>
      <c r="T945" s="262"/>
      <c r="U945" s="262"/>
      <c r="V945" s="262"/>
      <c r="W945" s="263"/>
      <c r="X945" s="263"/>
      <c r="Y945" s="263"/>
      <c r="Z945" s="263"/>
      <c r="AA945" s="263"/>
      <c r="AB945" s="263"/>
      <c r="AC945" s="263"/>
      <c r="AD945" s="263"/>
      <c r="AE945" s="263"/>
      <c r="AF945" s="263"/>
      <c r="AG945" s="263"/>
      <c r="AH945" s="263"/>
      <c r="AI945" s="263"/>
      <c r="AJ945" s="263"/>
      <c r="AK945" s="263"/>
    </row>
    <row r="946">
      <c r="L946" s="262"/>
      <c r="Q946" s="262"/>
      <c r="R946" s="262"/>
      <c r="S946" s="262"/>
      <c r="T946" s="262"/>
      <c r="U946" s="262"/>
      <c r="V946" s="262"/>
      <c r="W946" s="263"/>
      <c r="X946" s="263"/>
      <c r="Y946" s="263"/>
      <c r="Z946" s="263"/>
      <c r="AA946" s="263"/>
      <c r="AB946" s="263"/>
      <c r="AC946" s="263"/>
      <c r="AD946" s="263"/>
      <c r="AE946" s="263"/>
      <c r="AF946" s="263"/>
      <c r="AG946" s="263"/>
      <c r="AH946" s="263"/>
      <c r="AI946" s="263"/>
      <c r="AJ946" s="263"/>
      <c r="AK946" s="263"/>
    </row>
    <row r="947">
      <c r="L947" s="262"/>
      <c r="Q947" s="262"/>
      <c r="R947" s="262"/>
      <c r="S947" s="262"/>
      <c r="T947" s="262"/>
      <c r="U947" s="262"/>
      <c r="V947" s="262"/>
      <c r="W947" s="263"/>
      <c r="X947" s="263"/>
      <c r="Y947" s="263"/>
      <c r="Z947" s="263"/>
      <c r="AA947" s="263"/>
      <c r="AB947" s="263"/>
      <c r="AC947" s="263"/>
      <c r="AD947" s="263"/>
      <c r="AE947" s="263"/>
      <c r="AF947" s="263"/>
      <c r="AG947" s="263"/>
      <c r="AH947" s="263"/>
      <c r="AI947" s="263"/>
      <c r="AJ947" s="263"/>
      <c r="AK947" s="263"/>
    </row>
    <row r="948">
      <c r="L948" s="262"/>
      <c r="Q948" s="262"/>
      <c r="R948" s="262"/>
      <c r="S948" s="262"/>
      <c r="T948" s="262"/>
      <c r="U948" s="262"/>
      <c r="V948" s="262"/>
      <c r="W948" s="263"/>
      <c r="X948" s="263"/>
      <c r="Y948" s="263"/>
      <c r="Z948" s="263"/>
      <c r="AA948" s="263"/>
      <c r="AB948" s="263"/>
      <c r="AC948" s="263"/>
      <c r="AD948" s="263"/>
      <c r="AE948" s="263"/>
      <c r="AF948" s="263"/>
      <c r="AG948" s="263"/>
      <c r="AH948" s="263"/>
      <c r="AI948" s="263"/>
      <c r="AJ948" s="263"/>
      <c r="AK948" s="263"/>
    </row>
    <row r="949">
      <c r="L949" s="262"/>
      <c r="Q949" s="262"/>
      <c r="R949" s="262"/>
      <c r="S949" s="262"/>
      <c r="T949" s="262"/>
      <c r="U949" s="262"/>
      <c r="V949" s="262"/>
      <c r="W949" s="263"/>
      <c r="X949" s="263"/>
      <c r="Y949" s="263"/>
      <c r="Z949" s="263"/>
      <c r="AA949" s="263"/>
      <c r="AB949" s="263"/>
      <c r="AC949" s="263"/>
      <c r="AD949" s="263"/>
      <c r="AE949" s="263"/>
      <c r="AF949" s="263"/>
      <c r="AG949" s="263"/>
      <c r="AH949" s="263"/>
      <c r="AI949" s="263"/>
      <c r="AJ949" s="263"/>
      <c r="AK949" s="263"/>
    </row>
    <row r="950">
      <c r="L950" s="262"/>
      <c r="Q950" s="262"/>
      <c r="R950" s="262"/>
      <c r="S950" s="262"/>
      <c r="T950" s="262"/>
      <c r="U950" s="262"/>
      <c r="V950" s="262"/>
      <c r="W950" s="263"/>
      <c r="X950" s="263"/>
      <c r="Y950" s="263"/>
      <c r="Z950" s="263"/>
      <c r="AA950" s="263"/>
      <c r="AB950" s="263"/>
      <c r="AC950" s="263"/>
      <c r="AD950" s="263"/>
      <c r="AE950" s="263"/>
      <c r="AF950" s="263"/>
      <c r="AG950" s="263"/>
      <c r="AH950" s="263"/>
      <c r="AI950" s="263"/>
      <c r="AJ950" s="263"/>
      <c r="AK950" s="263"/>
    </row>
    <row r="951">
      <c r="L951" s="262"/>
      <c r="Q951" s="262"/>
      <c r="R951" s="262"/>
      <c r="S951" s="262"/>
      <c r="T951" s="262"/>
      <c r="U951" s="262"/>
      <c r="V951" s="262"/>
      <c r="W951" s="263"/>
      <c r="X951" s="263"/>
      <c r="Y951" s="263"/>
      <c r="Z951" s="263"/>
      <c r="AA951" s="263"/>
      <c r="AB951" s="263"/>
      <c r="AC951" s="263"/>
      <c r="AD951" s="263"/>
      <c r="AE951" s="263"/>
      <c r="AF951" s="263"/>
      <c r="AG951" s="263"/>
      <c r="AH951" s="263"/>
      <c r="AI951" s="263"/>
      <c r="AJ951" s="263"/>
      <c r="AK951" s="263"/>
    </row>
    <row r="952">
      <c r="L952" s="262"/>
      <c r="Q952" s="262"/>
      <c r="R952" s="262"/>
      <c r="S952" s="262"/>
      <c r="T952" s="262"/>
      <c r="U952" s="262"/>
      <c r="V952" s="262"/>
      <c r="W952" s="263"/>
      <c r="X952" s="263"/>
      <c r="Y952" s="263"/>
      <c r="Z952" s="263"/>
      <c r="AA952" s="263"/>
      <c r="AB952" s="263"/>
      <c r="AC952" s="263"/>
      <c r="AD952" s="263"/>
      <c r="AE952" s="263"/>
      <c r="AF952" s="263"/>
      <c r="AG952" s="263"/>
      <c r="AH952" s="263"/>
      <c r="AI952" s="263"/>
      <c r="AJ952" s="263"/>
      <c r="AK952" s="263"/>
    </row>
    <row r="953">
      <c r="L953" s="262"/>
      <c r="Q953" s="262"/>
      <c r="R953" s="262"/>
      <c r="S953" s="262"/>
      <c r="T953" s="262"/>
      <c r="U953" s="262"/>
      <c r="V953" s="262"/>
      <c r="W953" s="263"/>
      <c r="X953" s="263"/>
      <c r="Y953" s="263"/>
      <c r="Z953" s="263"/>
      <c r="AA953" s="263"/>
      <c r="AB953" s="263"/>
      <c r="AC953" s="263"/>
      <c r="AD953" s="263"/>
      <c r="AE953" s="263"/>
      <c r="AF953" s="263"/>
      <c r="AG953" s="263"/>
      <c r="AH953" s="263"/>
      <c r="AI953" s="263"/>
      <c r="AJ953" s="263"/>
      <c r="AK953" s="263"/>
    </row>
    <row r="954">
      <c r="L954" s="262"/>
      <c r="Q954" s="262"/>
      <c r="R954" s="262"/>
      <c r="S954" s="262"/>
      <c r="T954" s="262"/>
      <c r="U954" s="262"/>
      <c r="V954" s="262"/>
      <c r="W954" s="263"/>
      <c r="X954" s="263"/>
      <c r="Y954" s="263"/>
      <c r="Z954" s="263"/>
      <c r="AA954" s="263"/>
      <c r="AB954" s="263"/>
      <c r="AC954" s="263"/>
      <c r="AD954" s="263"/>
      <c r="AE954" s="263"/>
      <c r="AF954" s="263"/>
      <c r="AG954" s="263"/>
      <c r="AH954" s="263"/>
      <c r="AI954" s="263"/>
      <c r="AJ954" s="263"/>
      <c r="AK954" s="263"/>
    </row>
    <row r="955">
      <c r="L955" s="262"/>
      <c r="Q955" s="262"/>
      <c r="R955" s="262"/>
      <c r="S955" s="262"/>
      <c r="T955" s="262"/>
      <c r="U955" s="262"/>
      <c r="V955" s="262"/>
      <c r="W955" s="263"/>
      <c r="X955" s="263"/>
      <c r="Y955" s="263"/>
      <c r="Z955" s="263"/>
      <c r="AA955" s="263"/>
      <c r="AB955" s="263"/>
      <c r="AC955" s="263"/>
      <c r="AD955" s="263"/>
      <c r="AE955" s="263"/>
      <c r="AF955" s="263"/>
      <c r="AG955" s="263"/>
      <c r="AH955" s="263"/>
      <c r="AI955" s="263"/>
      <c r="AJ955" s="263"/>
      <c r="AK955" s="263"/>
    </row>
    <row r="956">
      <c r="L956" s="262"/>
      <c r="Q956" s="262"/>
      <c r="R956" s="262"/>
      <c r="S956" s="262"/>
      <c r="T956" s="262"/>
      <c r="U956" s="262"/>
      <c r="V956" s="262"/>
      <c r="W956" s="263"/>
      <c r="X956" s="263"/>
      <c r="Y956" s="263"/>
      <c r="Z956" s="263"/>
      <c r="AA956" s="263"/>
      <c r="AB956" s="263"/>
      <c r="AC956" s="263"/>
      <c r="AD956" s="263"/>
      <c r="AE956" s="263"/>
      <c r="AF956" s="263"/>
      <c r="AG956" s="263"/>
      <c r="AH956" s="263"/>
      <c r="AI956" s="263"/>
      <c r="AJ956" s="263"/>
      <c r="AK956" s="263"/>
    </row>
    <row r="957">
      <c r="L957" s="262"/>
      <c r="Q957" s="262"/>
      <c r="R957" s="262"/>
      <c r="S957" s="262"/>
      <c r="T957" s="262"/>
      <c r="U957" s="262"/>
      <c r="V957" s="262"/>
      <c r="W957" s="263"/>
      <c r="X957" s="263"/>
      <c r="Y957" s="263"/>
      <c r="Z957" s="263"/>
      <c r="AA957" s="263"/>
      <c r="AB957" s="263"/>
      <c r="AC957" s="263"/>
      <c r="AD957" s="263"/>
      <c r="AE957" s="263"/>
      <c r="AF957" s="263"/>
      <c r="AG957" s="263"/>
      <c r="AH957" s="263"/>
      <c r="AI957" s="263"/>
      <c r="AJ957" s="263"/>
      <c r="AK957" s="263"/>
    </row>
    <row r="958">
      <c r="L958" s="262"/>
      <c r="Q958" s="262"/>
      <c r="R958" s="262"/>
      <c r="S958" s="262"/>
      <c r="T958" s="262"/>
      <c r="U958" s="262"/>
      <c r="V958" s="262"/>
      <c r="W958" s="263"/>
      <c r="X958" s="263"/>
      <c r="Y958" s="263"/>
      <c r="Z958" s="263"/>
      <c r="AA958" s="263"/>
      <c r="AB958" s="263"/>
      <c r="AC958" s="263"/>
      <c r="AD958" s="263"/>
      <c r="AE958" s="263"/>
      <c r="AF958" s="263"/>
      <c r="AG958" s="263"/>
      <c r="AH958" s="263"/>
      <c r="AI958" s="263"/>
      <c r="AJ958" s="263"/>
      <c r="AK958" s="263"/>
    </row>
    <row r="959">
      <c r="L959" s="262"/>
      <c r="Q959" s="262"/>
      <c r="R959" s="262"/>
      <c r="S959" s="262"/>
      <c r="T959" s="262"/>
      <c r="U959" s="262"/>
      <c r="V959" s="262"/>
      <c r="W959" s="263"/>
      <c r="X959" s="263"/>
      <c r="Y959" s="263"/>
      <c r="Z959" s="263"/>
      <c r="AA959" s="263"/>
      <c r="AB959" s="263"/>
      <c r="AC959" s="263"/>
      <c r="AD959" s="263"/>
      <c r="AE959" s="263"/>
      <c r="AF959" s="263"/>
      <c r="AG959" s="263"/>
      <c r="AH959" s="263"/>
      <c r="AI959" s="263"/>
      <c r="AJ959" s="263"/>
      <c r="AK959" s="263"/>
    </row>
    <row r="960">
      <c r="L960" s="262"/>
      <c r="Q960" s="262"/>
      <c r="R960" s="262"/>
      <c r="S960" s="262"/>
      <c r="T960" s="262"/>
      <c r="U960" s="262"/>
      <c r="V960" s="262"/>
      <c r="W960" s="263"/>
      <c r="X960" s="263"/>
      <c r="Y960" s="263"/>
      <c r="Z960" s="263"/>
      <c r="AA960" s="263"/>
      <c r="AB960" s="263"/>
      <c r="AC960" s="263"/>
      <c r="AD960" s="263"/>
      <c r="AE960" s="263"/>
      <c r="AF960" s="263"/>
      <c r="AG960" s="263"/>
      <c r="AH960" s="263"/>
      <c r="AI960" s="263"/>
      <c r="AJ960" s="263"/>
      <c r="AK960" s="263"/>
    </row>
    <row r="961">
      <c r="L961" s="262"/>
      <c r="Q961" s="262"/>
      <c r="R961" s="262"/>
      <c r="S961" s="262"/>
      <c r="T961" s="262"/>
      <c r="U961" s="262"/>
      <c r="V961" s="262"/>
      <c r="W961" s="263"/>
      <c r="X961" s="263"/>
      <c r="Y961" s="263"/>
      <c r="Z961" s="263"/>
      <c r="AA961" s="263"/>
      <c r="AB961" s="263"/>
      <c r="AC961" s="263"/>
      <c r="AD961" s="263"/>
      <c r="AE961" s="263"/>
      <c r="AF961" s="263"/>
      <c r="AG961" s="263"/>
      <c r="AH961" s="263"/>
      <c r="AI961" s="263"/>
      <c r="AJ961" s="263"/>
      <c r="AK961" s="263"/>
    </row>
    <row r="962">
      <c r="L962" s="262"/>
      <c r="Q962" s="262"/>
      <c r="R962" s="262"/>
      <c r="S962" s="262"/>
      <c r="T962" s="262"/>
      <c r="U962" s="262"/>
      <c r="V962" s="262"/>
      <c r="W962" s="263"/>
      <c r="X962" s="263"/>
      <c r="Y962" s="263"/>
      <c r="Z962" s="263"/>
      <c r="AA962" s="263"/>
      <c r="AB962" s="263"/>
      <c r="AC962" s="263"/>
      <c r="AD962" s="263"/>
      <c r="AE962" s="263"/>
      <c r="AF962" s="263"/>
      <c r="AG962" s="263"/>
      <c r="AH962" s="263"/>
      <c r="AI962" s="263"/>
      <c r="AJ962" s="263"/>
      <c r="AK962" s="263"/>
    </row>
    <row r="963">
      <c r="L963" s="262"/>
      <c r="Q963" s="262"/>
      <c r="R963" s="262"/>
      <c r="S963" s="262"/>
      <c r="T963" s="262"/>
      <c r="U963" s="262"/>
      <c r="V963" s="262"/>
      <c r="W963" s="263"/>
      <c r="X963" s="263"/>
      <c r="Y963" s="263"/>
      <c r="Z963" s="263"/>
      <c r="AA963" s="263"/>
      <c r="AB963" s="263"/>
      <c r="AC963" s="263"/>
      <c r="AD963" s="263"/>
      <c r="AE963" s="263"/>
      <c r="AF963" s="263"/>
      <c r="AG963" s="263"/>
      <c r="AH963" s="263"/>
      <c r="AI963" s="263"/>
      <c r="AJ963" s="263"/>
      <c r="AK963" s="263"/>
    </row>
    <row r="964">
      <c r="L964" s="262"/>
      <c r="Q964" s="262"/>
      <c r="R964" s="262"/>
      <c r="S964" s="262"/>
      <c r="T964" s="262"/>
      <c r="U964" s="262"/>
      <c r="V964" s="262"/>
      <c r="W964" s="263"/>
      <c r="X964" s="263"/>
      <c r="Y964" s="263"/>
      <c r="Z964" s="263"/>
      <c r="AA964" s="263"/>
      <c r="AB964" s="263"/>
      <c r="AC964" s="263"/>
      <c r="AD964" s="263"/>
      <c r="AE964" s="263"/>
      <c r="AF964" s="263"/>
      <c r="AG964" s="263"/>
      <c r="AH964" s="263"/>
      <c r="AI964" s="263"/>
      <c r="AJ964" s="263"/>
      <c r="AK964" s="263"/>
    </row>
    <row r="965">
      <c r="L965" s="262"/>
      <c r="Q965" s="262"/>
      <c r="R965" s="262"/>
      <c r="S965" s="262"/>
      <c r="T965" s="262"/>
      <c r="U965" s="262"/>
      <c r="V965" s="262"/>
      <c r="W965" s="263"/>
      <c r="X965" s="263"/>
      <c r="Y965" s="263"/>
      <c r="Z965" s="263"/>
      <c r="AA965" s="263"/>
      <c r="AB965" s="263"/>
      <c r="AC965" s="263"/>
      <c r="AD965" s="263"/>
      <c r="AE965" s="263"/>
      <c r="AF965" s="263"/>
      <c r="AG965" s="263"/>
      <c r="AH965" s="263"/>
      <c r="AI965" s="263"/>
      <c r="AJ965" s="263"/>
      <c r="AK965" s="263"/>
    </row>
    <row r="966">
      <c r="L966" s="262"/>
      <c r="Q966" s="262"/>
      <c r="R966" s="262"/>
      <c r="S966" s="262"/>
      <c r="T966" s="262"/>
      <c r="U966" s="262"/>
      <c r="V966" s="262"/>
      <c r="W966" s="263"/>
      <c r="X966" s="263"/>
      <c r="Y966" s="263"/>
      <c r="Z966" s="263"/>
      <c r="AA966" s="263"/>
      <c r="AB966" s="263"/>
      <c r="AC966" s="263"/>
      <c r="AD966" s="263"/>
      <c r="AE966" s="263"/>
      <c r="AF966" s="263"/>
      <c r="AG966" s="263"/>
      <c r="AH966" s="263"/>
      <c r="AI966" s="263"/>
      <c r="AJ966" s="263"/>
      <c r="AK966" s="263"/>
    </row>
    <row r="967">
      <c r="L967" s="262"/>
      <c r="Q967" s="262"/>
      <c r="R967" s="262"/>
      <c r="S967" s="262"/>
      <c r="T967" s="262"/>
      <c r="U967" s="262"/>
      <c r="V967" s="262"/>
      <c r="W967" s="263"/>
      <c r="X967" s="263"/>
      <c r="Y967" s="263"/>
      <c r="Z967" s="263"/>
      <c r="AA967" s="263"/>
      <c r="AB967" s="263"/>
      <c r="AC967" s="263"/>
      <c r="AD967" s="263"/>
      <c r="AE967" s="263"/>
      <c r="AF967" s="263"/>
      <c r="AG967" s="263"/>
      <c r="AH967" s="263"/>
      <c r="AI967" s="263"/>
      <c r="AJ967" s="263"/>
      <c r="AK967" s="263"/>
    </row>
    <row r="968">
      <c r="L968" s="262"/>
      <c r="Q968" s="262"/>
      <c r="R968" s="262"/>
      <c r="S968" s="262"/>
      <c r="T968" s="262"/>
      <c r="U968" s="262"/>
      <c r="V968" s="262"/>
      <c r="W968" s="263"/>
      <c r="X968" s="263"/>
      <c r="Y968" s="263"/>
      <c r="Z968" s="263"/>
      <c r="AA968" s="263"/>
      <c r="AB968" s="263"/>
      <c r="AC968" s="263"/>
      <c r="AD968" s="263"/>
      <c r="AE968" s="263"/>
      <c r="AF968" s="263"/>
      <c r="AG968" s="263"/>
      <c r="AH968" s="263"/>
      <c r="AI968" s="263"/>
      <c r="AJ968" s="263"/>
      <c r="AK968" s="263"/>
    </row>
    <row r="969">
      <c r="L969" s="262"/>
      <c r="Q969" s="262"/>
      <c r="R969" s="262"/>
      <c r="S969" s="262"/>
      <c r="T969" s="262"/>
      <c r="U969" s="262"/>
      <c r="V969" s="262"/>
      <c r="W969" s="263"/>
      <c r="X969" s="263"/>
      <c r="Y969" s="263"/>
      <c r="Z969" s="263"/>
      <c r="AA969" s="263"/>
      <c r="AB969" s="263"/>
      <c r="AC969" s="263"/>
      <c r="AD969" s="263"/>
      <c r="AE969" s="263"/>
      <c r="AF969" s="263"/>
      <c r="AG969" s="263"/>
      <c r="AH969" s="263"/>
      <c r="AI969" s="263"/>
      <c r="AJ969" s="263"/>
      <c r="AK969" s="263"/>
    </row>
    <row r="970">
      <c r="L970" s="262"/>
      <c r="Q970" s="262"/>
      <c r="R970" s="262"/>
      <c r="S970" s="262"/>
      <c r="T970" s="262"/>
      <c r="U970" s="262"/>
      <c r="V970" s="262"/>
      <c r="W970" s="263"/>
      <c r="X970" s="263"/>
      <c r="Y970" s="263"/>
      <c r="Z970" s="263"/>
      <c r="AA970" s="263"/>
      <c r="AB970" s="263"/>
      <c r="AC970" s="263"/>
      <c r="AD970" s="263"/>
      <c r="AE970" s="263"/>
      <c r="AF970" s="263"/>
      <c r="AG970" s="263"/>
      <c r="AH970" s="263"/>
      <c r="AI970" s="263"/>
      <c r="AJ970" s="263"/>
      <c r="AK970" s="263"/>
    </row>
    <row r="971">
      <c r="L971" s="262"/>
      <c r="Q971" s="262"/>
      <c r="R971" s="262"/>
      <c r="S971" s="262"/>
      <c r="T971" s="262"/>
      <c r="U971" s="262"/>
      <c r="V971" s="262"/>
      <c r="W971" s="263"/>
      <c r="X971" s="263"/>
      <c r="Y971" s="263"/>
      <c r="Z971" s="263"/>
      <c r="AA971" s="263"/>
      <c r="AB971" s="263"/>
      <c r="AC971" s="263"/>
      <c r="AD971" s="263"/>
      <c r="AE971" s="263"/>
      <c r="AF971" s="263"/>
      <c r="AG971" s="263"/>
      <c r="AH971" s="263"/>
      <c r="AI971" s="263"/>
      <c r="AJ971" s="263"/>
      <c r="AK971" s="263"/>
    </row>
    <row r="972">
      <c r="L972" s="262"/>
      <c r="Q972" s="262"/>
      <c r="R972" s="262"/>
      <c r="S972" s="262"/>
      <c r="T972" s="262"/>
      <c r="U972" s="262"/>
      <c r="V972" s="262"/>
      <c r="W972" s="263"/>
      <c r="X972" s="263"/>
      <c r="Y972" s="263"/>
      <c r="Z972" s="263"/>
      <c r="AA972" s="263"/>
      <c r="AB972" s="263"/>
      <c r="AC972" s="263"/>
      <c r="AD972" s="263"/>
      <c r="AE972" s="263"/>
      <c r="AF972" s="263"/>
      <c r="AG972" s="263"/>
      <c r="AH972" s="263"/>
      <c r="AI972" s="263"/>
      <c r="AJ972" s="263"/>
      <c r="AK972" s="263"/>
    </row>
    <row r="973">
      <c r="L973" s="262"/>
      <c r="Q973" s="262"/>
      <c r="R973" s="262"/>
      <c r="S973" s="262"/>
      <c r="T973" s="262"/>
      <c r="U973" s="262"/>
      <c r="V973" s="262"/>
      <c r="W973" s="263"/>
      <c r="X973" s="263"/>
      <c r="Y973" s="263"/>
      <c r="Z973" s="263"/>
      <c r="AA973" s="263"/>
      <c r="AB973" s="263"/>
      <c r="AC973" s="263"/>
      <c r="AD973" s="263"/>
      <c r="AE973" s="263"/>
      <c r="AF973" s="263"/>
      <c r="AG973" s="263"/>
      <c r="AH973" s="263"/>
      <c r="AI973" s="263"/>
      <c r="AJ973" s="263"/>
      <c r="AK973" s="263"/>
    </row>
    <row r="974">
      <c r="L974" s="262"/>
      <c r="Q974" s="262"/>
      <c r="R974" s="262"/>
      <c r="S974" s="262"/>
      <c r="T974" s="262"/>
      <c r="U974" s="262"/>
      <c r="V974" s="262"/>
      <c r="W974" s="263"/>
      <c r="X974" s="263"/>
      <c r="Y974" s="263"/>
      <c r="Z974" s="263"/>
      <c r="AA974" s="263"/>
      <c r="AB974" s="263"/>
      <c r="AC974" s="263"/>
      <c r="AD974" s="263"/>
      <c r="AE974" s="263"/>
      <c r="AF974" s="263"/>
      <c r="AG974" s="263"/>
      <c r="AH974" s="263"/>
      <c r="AI974" s="263"/>
      <c r="AJ974" s="263"/>
      <c r="AK974" s="263"/>
    </row>
    <row r="975">
      <c r="L975" s="262"/>
      <c r="Q975" s="262"/>
      <c r="R975" s="262"/>
      <c r="S975" s="262"/>
      <c r="T975" s="262"/>
      <c r="U975" s="262"/>
      <c r="V975" s="262"/>
      <c r="W975" s="263"/>
      <c r="X975" s="263"/>
      <c r="Y975" s="263"/>
      <c r="Z975" s="263"/>
      <c r="AA975" s="263"/>
      <c r="AB975" s="263"/>
      <c r="AC975" s="263"/>
      <c r="AD975" s="263"/>
      <c r="AE975" s="263"/>
      <c r="AF975" s="263"/>
      <c r="AG975" s="263"/>
      <c r="AH975" s="263"/>
      <c r="AI975" s="263"/>
      <c r="AJ975" s="263"/>
      <c r="AK975" s="263"/>
    </row>
    <row r="976">
      <c r="L976" s="262"/>
      <c r="Q976" s="262"/>
      <c r="R976" s="262"/>
      <c r="S976" s="262"/>
      <c r="T976" s="262"/>
      <c r="U976" s="262"/>
      <c r="V976" s="262"/>
      <c r="W976" s="263"/>
      <c r="X976" s="263"/>
      <c r="Y976" s="263"/>
      <c r="Z976" s="263"/>
      <c r="AA976" s="263"/>
      <c r="AB976" s="263"/>
      <c r="AC976" s="263"/>
      <c r="AD976" s="263"/>
      <c r="AE976" s="263"/>
      <c r="AF976" s="263"/>
      <c r="AG976" s="263"/>
      <c r="AH976" s="263"/>
      <c r="AI976" s="263"/>
      <c r="AJ976" s="263"/>
      <c r="AK976" s="263"/>
    </row>
    <row r="977">
      <c r="L977" s="262"/>
      <c r="Q977" s="262"/>
      <c r="R977" s="262"/>
      <c r="S977" s="262"/>
      <c r="T977" s="262"/>
      <c r="U977" s="262"/>
      <c r="V977" s="262"/>
      <c r="W977" s="263"/>
      <c r="X977" s="263"/>
      <c r="Y977" s="263"/>
      <c r="Z977" s="263"/>
      <c r="AA977" s="263"/>
      <c r="AB977" s="263"/>
      <c r="AC977" s="263"/>
      <c r="AD977" s="263"/>
      <c r="AE977" s="263"/>
      <c r="AF977" s="263"/>
      <c r="AG977" s="263"/>
      <c r="AH977" s="263"/>
      <c r="AI977" s="263"/>
      <c r="AJ977" s="263"/>
      <c r="AK977" s="263"/>
    </row>
    <row r="978">
      <c r="L978" s="262"/>
      <c r="Q978" s="262"/>
      <c r="R978" s="262"/>
      <c r="S978" s="262"/>
      <c r="T978" s="262"/>
      <c r="U978" s="262"/>
      <c r="V978" s="262"/>
      <c r="W978" s="263"/>
      <c r="X978" s="263"/>
      <c r="Y978" s="263"/>
      <c r="Z978" s="263"/>
      <c r="AA978" s="263"/>
      <c r="AB978" s="263"/>
      <c r="AC978" s="263"/>
      <c r="AD978" s="263"/>
      <c r="AE978" s="263"/>
      <c r="AF978" s="263"/>
      <c r="AG978" s="263"/>
      <c r="AH978" s="263"/>
      <c r="AI978" s="263"/>
      <c r="AJ978" s="263"/>
      <c r="AK978" s="263"/>
    </row>
    <row r="979">
      <c r="L979" s="262"/>
      <c r="Q979" s="262"/>
      <c r="R979" s="262"/>
      <c r="S979" s="262"/>
      <c r="T979" s="262"/>
      <c r="U979" s="262"/>
      <c r="V979" s="262"/>
      <c r="W979" s="263"/>
      <c r="X979" s="263"/>
      <c r="Y979" s="263"/>
      <c r="Z979" s="263"/>
      <c r="AA979" s="263"/>
      <c r="AB979" s="263"/>
      <c r="AC979" s="263"/>
      <c r="AD979" s="263"/>
      <c r="AE979" s="263"/>
      <c r="AF979" s="263"/>
      <c r="AG979" s="263"/>
      <c r="AH979" s="263"/>
      <c r="AI979" s="263"/>
      <c r="AJ979" s="263"/>
      <c r="AK979" s="263"/>
    </row>
    <row r="980">
      <c r="L980" s="262"/>
      <c r="Q980" s="262"/>
      <c r="R980" s="262"/>
      <c r="S980" s="262"/>
      <c r="T980" s="262"/>
      <c r="U980" s="262"/>
      <c r="V980" s="262"/>
      <c r="W980" s="263"/>
      <c r="X980" s="263"/>
      <c r="Y980" s="263"/>
      <c r="Z980" s="263"/>
      <c r="AA980" s="263"/>
      <c r="AB980" s="263"/>
      <c r="AC980" s="263"/>
      <c r="AD980" s="263"/>
      <c r="AE980" s="263"/>
      <c r="AF980" s="263"/>
      <c r="AG980" s="263"/>
      <c r="AH980" s="263"/>
      <c r="AI980" s="263"/>
      <c r="AJ980" s="263"/>
      <c r="AK980" s="263"/>
    </row>
    <row r="981">
      <c r="L981" s="262"/>
      <c r="Q981" s="262"/>
      <c r="R981" s="262"/>
      <c r="S981" s="262"/>
      <c r="T981" s="262"/>
      <c r="U981" s="262"/>
      <c r="V981" s="262"/>
      <c r="W981" s="263"/>
      <c r="X981" s="263"/>
      <c r="Y981" s="263"/>
      <c r="Z981" s="263"/>
      <c r="AA981" s="263"/>
      <c r="AB981" s="263"/>
      <c r="AC981" s="263"/>
      <c r="AD981" s="263"/>
      <c r="AE981" s="263"/>
      <c r="AF981" s="263"/>
      <c r="AG981" s="263"/>
      <c r="AH981" s="263"/>
      <c r="AI981" s="263"/>
      <c r="AJ981" s="263"/>
      <c r="AK981" s="263"/>
    </row>
    <row r="982">
      <c r="L982" s="262"/>
      <c r="Q982" s="262"/>
      <c r="R982" s="262"/>
      <c r="S982" s="262"/>
      <c r="T982" s="262"/>
      <c r="U982" s="262"/>
      <c r="V982" s="262"/>
      <c r="W982" s="263"/>
      <c r="X982" s="263"/>
      <c r="Y982" s="263"/>
      <c r="Z982" s="263"/>
      <c r="AA982" s="263"/>
      <c r="AB982" s="263"/>
      <c r="AC982" s="263"/>
      <c r="AD982" s="263"/>
      <c r="AE982" s="263"/>
      <c r="AF982" s="263"/>
      <c r="AG982" s="263"/>
      <c r="AH982" s="263"/>
      <c r="AI982" s="263"/>
      <c r="AJ982" s="263"/>
      <c r="AK982" s="263"/>
    </row>
    <row r="983">
      <c r="L983" s="262"/>
      <c r="Q983" s="262"/>
      <c r="R983" s="262"/>
      <c r="S983" s="262"/>
      <c r="T983" s="262"/>
      <c r="U983" s="262"/>
      <c r="V983" s="262"/>
      <c r="W983" s="263"/>
      <c r="X983" s="263"/>
      <c r="Y983" s="263"/>
      <c r="Z983" s="263"/>
      <c r="AA983" s="263"/>
      <c r="AB983" s="263"/>
      <c r="AC983" s="263"/>
      <c r="AD983" s="263"/>
      <c r="AE983" s="263"/>
      <c r="AF983" s="263"/>
      <c r="AG983" s="263"/>
      <c r="AH983" s="263"/>
      <c r="AI983" s="263"/>
      <c r="AJ983" s="263"/>
      <c r="AK983" s="263"/>
    </row>
    <row r="984">
      <c r="L984" s="262"/>
      <c r="Q984" s="262"/>
      <c r="R984" s="262"/>
      <c r="S984" s="262"/>
      <c r="T984" s="262"/>
      <c r="U984" s="262"/>
      <c r="V984" s="262"/>
      <c r="W984" s="263"/>
      <c r="X984" s="263"/>
      <c r="Y984" s="263"/>
      <c r="Z984" s="263"/>
      <c r="AA984" s="263"/>
      <c r="AB984" s="263"/>
      <c r="AC984" s="263"/>
      <c r="AD984" s="263"/>
      <c r="AE984" s="263"/>
      <c r="AF984" s="263"/>
      <c r="AG984" s="263"/>
      <c r="AH984" s="263"/>
      <c r="AI984" s="263"/>
      <c r="AJ984" s="263"/>
      <c r="AK984" s="263"/>
    </row>
    <row r="985">
      <c r="L985" s="262"/>
      <c r="Q985" s="262"/>
      <c r="R985" s="262"/>
      <c r="S985" s="262"/>
      <c r="T985" s="262"/>
      <c r="U985" s="262"/>
      <c r="V985" s="262"/>
      <c r="W985" s="263"/>
      <c r="X985" s="263"/>
      <c r="Y985" s="263"/>
      <c r="Z985" s="263"/>
      <c r="AA985" s="263"/>
      <c r="AB985" s="263"/>
      <c r="AC985" s="263"/>
      <c r="AD985" s="263"/>
      <c r="AE985" s="263"/>
      <c r="AF985" s="263"/>
      <c r="AG985" s="263"/>
      <c r="AH985" s="263"/>
      <c r="AI985" s="263"/>
      <c r="AJ985" s="263"/>
      <c r="AK985" s="263"/>
    </row>
    <row r="986">
      <c r="L986" s="262"/>
      <c r="Q986" s="262"/>
      <c r="R986" s="262"/>
      <c r="S986" s="262"/>
      <c r="T986" s="262"/>
      <c r="U986" s="262"/>
      <c r="V986" s="262"/>
      <c r="W986" s="263"/>
      <c r="X986" s="263"/>
      <c r="Y986" s="263"/>
      <c r="Z986" s="263"/>
      <c r="AA986" s="263"/>
      <c r="AB986" s="263"/>
      <c r="AC986" s="263"/>
      <c r="AD986" s="263"/>
      <c r="AE986" s="263"/>
      <c r="AF986" s="263"/>
      <c r="AG986" s="263"/>
      <c r="AH986" s="263"/>
      <c r="AI986" s="263"/>
      <c r="AJ986" s="263"/>
      <c r="AK986" s="263"/>
    </row>
    <row r="987">
      <c r="L987" s="262"/>
      <c r="Q987" s="262"/>
      <c r="R987" s="262"/>
      <c r="S987" s="262"/>
      <c r="T987" s="262"/>
      <c r="U987" s="262"/>
      <c r="V987" s="262"/>
      <c r="W987" s="263"/>
      <c r="X987" s="263"/>
      <c r="Y987" s="263"/>
      <c r="Z987" s="263"/>
      <c r="AA987" s="263"/>
      <c r="AB987" s="263"/>
      <c r="AC987" s="263"/>
      <c r="AD987" s="263"/>
      <c r="AE987" s="263"/>
      <c r="AF987" s="263"/>
      <c r="AG987" s="263"/>
      <c r="AH987" s="263"/>
      <c r="AI987" s="263"/>
      <c r="AJ987" s="263"/>
      <c r="AK987" s="263"/>
    </row>
    <row r="988">
      <c r="L988" s="262"/>
      <c r="Q988" s="262"/>
      <c r="R988" s="262"/>
      <c r="S988" s="262"/>
      <c r="T988" s="262"/>
      <c r="U988" s="262"/>
      <c r="V988" s="262"/>
      <c r="W988" s="263"/>
      <c r="X988" s="263"/>
      <c r="Y988" s="263"/>
      <c r="Z988" s="263"/>
      <c r="AA988" s="263"/>
      <c r="AB988" s="263"/>
      <c r="AC988" s="263"/>
      <c r="AD988" s="263"/>
      <c r="AE988" s="263"/>
      <c r="AF988" s="263"/>
      <c r="AG988" s="263"/>
      <c r="AH988" s="263"/>
      <c r="AI988" s="263"/>
      <c r="AJ988" s="263"/>
      <c r="AK988" s="263"/>
    </row>
    <row r="989">
      <c r="L989" s="262"/>
      <c r="Q989" s="262"/>
      <c r="R989" s="262"/>
      <c r="S989" s="262"/>
      <c r="T989" s="262"/>
      <c r="U989" s="262"/>
      <c r="V989" s="262"/>
      <c r="W989" s="263"/>
      <c r="X989" s="263"/>
      <c r="Y989" s="263"/>
      <c r="Z989" s="263"/>
      <c r="AA989" s="263"/>
      <c r="AB989" s="263"/>
      <c r="AC989" s="263"/>
      <c r="AD989" s="263"/>
      <c r="AE989" s="263"/>
      <c r="AF989" s="263"/>
      <c r="AG989" s="263"/>
      <c r="AH989" s="263"/>
      <c r="AI989" s="263"/>
      <c r="AJ989" s="263"/>
      <c r="AK989" s="263"/>
    </row>
    <row r="990">
      <c r="L990" s="262"/>
      <c r="Q990" s="262"/>
      <c r="R990" s="262"/>
      <c r="S990" s="262"/>
      <c r="T990" s="262"/>
      <c r="U990" s="262"/>
      <c r="V990" s="262"/>
      <c r="W990" s="263"/>
      <c r="X990" s="263"/>
      <c r="Y990" s="263"/>
      <c r="Z990" s="263"/>
      <c r="AA990" s="263"/>
      <c r="AB990" s="263"/>
      <c r="AC990" s="263"/>
      <c r="AD990" s="263"/>
      <c r="AE990" s="263"/>
      <c r="AF990" s="263"/>
      <c r="AG990" s="263"/>
      <c r="AH990" s="263"/>
      <c r="AI990" s="263"/>
      <c r="AJ990" s="263"/>
      <c r="AK990" s="263"/>
    </row>
    <row r="991">
      <c r="L991" s="262"/>
      <c r="Q991" s="262"/>
      <c r="R991" s="262"/>
      <c r="S991" s="262"/>
      <c r="T991" s="262"/>
      <c r="U991" s="262"/>
      <c r="V991" s="262"/>
      <c r="W991" s="263"/>
      <c r="X991" s="263"/>
      <c r="Y991" s="263"/>
      <c r="Z991" s="263"/>
      <c r="AA991" s="263"/>
      <c r="AB991" s="263"/>
      <c r="AC991" s="263"/>
      <c r="AD991" s="263"/>
      <c r="AE991" s="263"/>
      <c r="AF991" s="263"/>
      <c r="AG991" s="263"/>
      <c r="AH991" s="263"/>
      <c r="AI991" s="263"/>
      <c r="AJ991" s="263"/>
      <c r="AK991" s="263"/>
    </row>
    <row r="992">
      <c r="L992" s="262"/>
      <c r="Q992" s="262"/>
      <c r="R992" s="262"/>
      <c r="S992" s="262"/>
      <c r="T992" s="262"/>
      <c r="U992" s="262"/>
      <c r="V992" s="262"/>
      <c r="W992" s="263"/>
      <c r="X992" s="263"/>
      <c r="Y992" s="263"/>
      <c r="Z992" s="263"/>
      <c r="AA992" s="263"/>
      <c r="AB992" s="263"/>
      <c r="AC992" s="263"/>
      <c r="AD992" s="263"/>
      <c r="AE992" s="263"/>
      <c r="AF992" s="263"/>
      <c r="AG992" s="263"/>
      <c r="AH992" s="263"/>
      <c r="AI992" s="263"/>
      <c r="AJ992" s="263"/>
      <c r="AK992" s="263"/>
    </row>
    <row r="993">
      <c r="L993" s="262"/>
      <c r="Q993" s="262"/>
      <c r="R993" s="262"/>
      <c r="S993" s="262"/>
      <c r="T993" s="262"/>
      <c r="U993" s="262"/>
      <c r="V993" s="262"/>
      <c r="W993" s="263"/>
      <c r="X993" s="263"/>
      <c r="Y993" s="263"/>
      <c r="Z993" s="263"/>
      <c r="AA993" s="263"/>
      <c r="AB993" s="263"/>
      <c r="AC993" s="263"/>
      <c r="AD993" s="263"/>
      <c r="AE993" s="263"/>
      <c r="AF993" s="263"/>
      <c r="AG993" s="263"/>
      <c r="AH993" s="263"/>
      <c r="AI993" s="263"/>
      <c r="AJ993" s="263"/>
      <c r="AK993" s="263"/>
    </row>
    <row r="994">
      <c r="L994" s="262"/>
      <c r="Q994" s="262"/>
      <c r="R994" s="262"/>
      <c r="S994" s="262"/>
      <c r="T994" s="262"/>
      <c r="U994" s="262"/>
      <c r="V994" s="262"/>
      <c r="W994" s="263"/>
      <c r="X994" s="263"/>
      <c r="Y994" s="263"/>
      <c r="Z994" s="263"/>
      <c r="AA994" s="263"/>
      <c r="AB994" s="263"/>
      <c r="AC994" s="263"/>
      <c r="AD994" s="263"/>
      <c r="AE994" s="263"/>
      <c r="AF994" s="263"/>
      <c r="AG994" s="263"/>
      <c r="AH994" s="263"/>
      <c r="AI994" s="263"/>
      <c r="AJ994" s="263"/>
      <c r="AK994" s="263"/>
    </row>
    <row r="995">
      <c r="L995" s="262"/>
      <c r="Q995" s="262"/>
      <c r="R995" s="262"/>
      <c r="S995" s="262"/>
      <c r="T995" s="262"/>
      <c r="U995" s="262"/>
      <c r="V995" s="262"/>
      <c r="W995" s="263"/>
      <c r="X995" s="263"/>
      <c r="Y995" s="263"/>
      <c r="Z995" s="263"/>
      <c r="AA995" s="263"/>
      <c r="AB995" s="263"/>
      <c r="AC995" s="263"/>
      <c r="AD995" s="263"/>
      <c r="AE995" s="263"/>
      <c r="AF995" s="263"/>
      <c r="AG995" s="263"/>
      <c r="AH995" s="263"/>
      <c r="AI995" s="263"/>
      <c r="AJ995" s="263"/>
      <c r="AK995" s="263"/>
    </row>
    <row r="996">
      <c r="L996" s="262"/>
      <c r="Q996" s="262"/>
      <c r="R996" s="262"/>
      <c r="S996" s="262"/>
      <c r="T996" s="262"/>
      <c r="U996" s="262"/>
      <c r="V996" s="262"/>
      <c r="W996" s="263"/>
      <c r="X996" s="263"/>
      <c r="Y996" s="263"/>
      <c r="Z996" s="263"/>
      <c r="AA996" s="263"/>
      <c r="AB996" s="263"/>
      <c r="AC996" s="263"/>
      <c r="AD996" s="263"/>
      <c r="AE996" s="263"/>
      <c r="AF996" s="263"/>
      <c r="AG996" s="263"/>
      <c r="AH996" s="263"/>
      <c r="AI996" s="263"/>
      <c r="AJ996" s="263"/>
      <c r="AK996" s="263"/>
    </row>
    <row r="997">
      <c r="L997" s="262"/>
      <c r="Q997" s="262"/>
      <c r="R997" s="262"/>
      <c r="S997" s="262"/>
      <c r="T997" s="262"/>
      <c r="U997" s="262"/>
      <c r="V997" s="262"/>
      <c r="W997" s="263"/>
      <c r="X997" s="263"/>
      <c r="Y997" s="263"/>
      <c r="Z997" s="263"/>
      <c r="AA997" s="263"/>
      <c r="AB997" s="263"/>
      <c r="AC997" s="263"/>
      <c r="AD997" s="263"/>
      <c r="AE997" s="263"/>
      <c r="AF997" s="263"/>
      <c r="AG997" s="263"/>
      <c r="AH997" s="263"/>
      <c r="AI997" s="263"/>
      <c r="AJ997" s="263"/>
      <c r="AK997" s="263"/>
    </row>
    <row r="998">
      <c r="L998" s="262"/>
      <c r="Q998" s="262"/>
      <c r="R998" s="262"/>
      <c r="S998" s="262"/>
      <c r="T998" s="262"/>
      <c r="U998" s="262"/>
      <c r="V998" s="262"/>
      <c r="W998" s="263"/>
      <c r="X998" s="263"/>
      <c r="Y998" s="263"/>
      <c r="Z998" s="263"/>
      <c r="AA998" s="263"/>
      <c r="AB998" s="263"/>
      <c r="AC998" s="263"/>
      <c r="AD998" s="263"/>
      <c r="AE998" s="263"/>
      <c r="AF998" s="263"/>
      <c r="AG998" s="263"/>
      <c r="AH998" s="263"/>
      <c r="AI998" s="263"/>
      <c r="AJ998" s="263"/>
      <c r="AK998" s="263"/>
    </row>
    <row r="999">
      <c r="L999" s="262"/>
      <c r="Q999" s="262"/>
      <c r="R999" s="262"/>
      <c r="S999" s="262"/>
      <c r="T999" s="262"/>
      <c r="U999" s="262"/>
      <c r="V999" s="262"/>
      <c r="W999" s="263"/>
      <c r="X999" s="263"/>
      <c r="Y999" s="263"/>
      <c r="Z999" s="263"/>
      <c r="AA999" s="263"/>
      <c r="AB999" s="263"/>
      <c r="AC999" s="263"/>
      <c r="AD999" s="263"/>
      <c r="AE999" s="263"/>
      <c r="AF999" s="263"/>
      <c r="AG999" s="263"/>
      <c r="AH999" s="263"/>
      <c r="AI999" s="263"/>
      <c r="AJ999" s="263"/>
      <c r="AK999" s="263"/>
    </row>
    <row r="1000">
      <c r="L1000" s="262"/>
      <c r="Q1000" s="262"/>
      <c r="R1000" s="262"/>
      <c r="S1000" s="262"/>
      <c r="T1000" s="262"/>
      <c r="U1000" s="262"/>
      <c r="V1000" s="262"/>
      <c r="W1000" s="263"/>
      <c r="X1000" s="263"/>
      <c r="Y1000" s="263"/>
      <c r="Z1000" s="263"/>
      <c r="AA1000" s="263"/>
      <c r="AB1000" s="263"/>
      <c r="AC1000" s="263"/>
      <c r="AD1000" s="263"/>
      <c r="AE1000" s="263"/>
      <c r="AF1000" s="263"/>
      <c r="AG1000" s="263"/>
      <c r="AH1000" s="263"/>
      <c r="AI1000" s="263"/>
      <c r="AJ1000" s="263"/>
      <c r="AK1000" s="263"/>
    </row>
    <row r="1001">
      <c r="L1001" s="262"/>
      <c r="Q1001" s="262"/>
      <c r="R1001" s="262"/>
      <c r="S1001" s="262"/>
      <c r="T1001" s="262"/>
      <c r="U1001" s="262"/>
      <c r="V1001" s="262"/>
      <c r="W1001" s="263"/>
      <c r="X1001" s="263"/>
      <c r="Y1001" s="263"/>
      <c r="Z1001" s="263"/>
      <c r="AA1001" s="263"/>
      <c r="AB1001" s="263"/>
      <c r="AC1001" s="263"/>
      <c r="AD1001" s="263"/>
      <c r="AE1001" s="263"/>
      <c r="AF1001" s="263"/>
      <c r="AG1001" s="263"/>
      <c r="AH1001" s="263"/>
      <c r="AI1001" s="263"/>
      <c r="AJ1001" s="263"/>
      <c r="AK1001" s="263"/>
    </row>
    <row r="1002">
      <c r="L1002" s="262"/>
      <c r="Q1002" s="262"/>
      <c r="R1002" s="262"/>
      <c r="S1002" s="262"/>
      <c r="T1002" s="262"/>
      <c r="U1002" s="262"/>
      <c r="V1002" s="262"/>
      <c r="W1002" s="263"/>
      <c r="X1002" s="263"/>
      <c r="Y1002" s="263"/>
      <c r="Z1002" s="263"/>
      <c r="AA1002" s="263"/>
      <c r="AB1002" s="263"/>
      <c r="AC1002" s="263"/>
      <c r="AD1002" s="263"/>
      <c r="AE1002" s="263"/>
      <c r="AF1002" s="263"/>
      <c r="AG1002" s="263"/>
      <c r="AH1002" s="263"/>
      <c r="AI1002" s="263"/>
      <c r="AJ1002" s="263"/>
      <c r="AK1002" s="263"/>
    </row>
    <row r="1003">
      <c r="L1003" s="262"/>
      <c r="Q1003" s="262"/>
      <c r="R1003" s="262"/>
      <c r="S1003" s="262"/>
      <c r="T1003" s="262"/>
      <c r="U1003" s="262"/>
      <c r="V1003" s="262"/>
      <c r="W1003" s="263"/>
      <c r="X1003" s="263"/>
      <c r="Y1003" s="263"/>
      <c r="Z1003" s="263"/>
      <c r="AA1003" s="263"/>
      <c r="AB1003" s="263"/>
      <c r="AC1003" s="263"/>
      <c r="AD1003" s="263"/>
      <c r="AE1003" s="263"/>
      <c r="AF1003" s="263"/>
      <c r="AG1003" s="263"/>
      <c r="AH1003" s="263"/>
      <c r="AI1003" s="263"/>
      <c r="AJ1003" s="263"/>
      <c r="AK1003" s="263"/>
    </row>
    <row r="1004">
      <c r="L1004" s="262"/>
      <c r="Q1004" s="262"/>
      <c r="R1004" s="262"/>
      <c r="S1004" s="262"/>
      <c r="T1004" s="262"/>
      <c r="U1004" s="262"/>
      <c r="V1004" s="262"/>
      <c r="W1004" s="263"/>
      <c r="X1004" s="263"/>
      <c r="Y1004" s="263"/>
      <c r="Z1004" s="263"/>
      <c r="AA1004" s="263"/>
      <c r="AB1004" s="263"/>
      <c r="AC1004" s="263"/>
      <c r="AD1004" s="263"/>
      <c r="AE1004" s="263"/>
      <c r="AF1004" s="263"/>
      <c r="AG1004" s="263"/>
      <c r="AH1004" s="263"/>
      <c r="AI1004" s="263"/>
      <c r="AJ1004" s="263"/>
      <c r="AK1004" s="263"/>
    </row>
    <row r="1005">
      <c r="L1005" s="262"/>
      <c r="Q1005" s="262"/>
      <c r="R1005" s="262"/>
      <c r="S1005" s="262"/>
      <c r="T1005" s="262"/>
      <c r="U1005" s="262"/>
      <c r="V1005" s="262"/>
      <c r="W1005" s="263"/>
      <c r="X1005" s="263"/>
      <c r="Y1005" s="263"/>
      <c r="Z1005" s="263"/>
      <c r="AA1005" s="263"/>
      <c r="AB1005" s="263"/>
      <c r="AC1005" s="263"/>
      <c r="AD1005" s="263"/>
      <c r="AE1005" s="263"/>
      <c r="AF1005" s="263"/>
      <c r="AG1005" s="263"/>
      <c r="AH1005" s="263"/>
      <c r="AI1005" s="263"/>
      <c r="AJ1005" s="263"/>
      <c r="AK1005" s="263"/>
    </row>
    <row r="1006">
      <c r="L1006" s="262"/>
      <c r="Q1006" s="262"/>
      <c r="R1006" s="262"/>
      <c r="S1006" s="262"/>
      <c r="T1006" s="262"/>
      <c r="U1006" s="262"/>
      <c r="V1006" s="262"/>
      <c r="W1006" s="263"/>
      <c r="X1006" s="263"/>
      <c r="Y1006" s="263"/>
      <c r="Z1006" s="263"/>
      <c r="AA1006" s="263"/>
      <c r="AB1006" s="263"/>
      <c r="AC1006" s="263"/>
      <c r="AD1006" s="263"/>
      <c r="AE1006" s="263"/>
      <c r="AF1006" s="263"/>
      <c r="AG1006" s="263"/>
      <c r="AH1006" s="263"/>
      <c r="AI1006" s="263"/>
      <c r="AJ1006" s="263"/>
      <c r="AK1006" s="263"/>
    </row>
    <row r="1007">
      <c r="L1007" s="262"/>
      <c r="Q1007" s="262"/>
      <c r="R1007" s="262"/>
      <c r="S1007" s="262"/>
      <c r="T1007" s="262"/>
      <c r="U1007" s="262"/>
      <c r="V1007" s="262"/>
      <c r="W1007" s="263"/>
      <c r="X1007" s="263"/>
      <c r="Y1007" s="263"/>
      <c r="Z1007" s="263"/>
      <c r="AA1007" s="263"/>
      <c r="AB1007" s="263"/>
      <c r="AC1007" s="263"/>
      <c r="AD1007" s="263"/>
      <c r="AE1007" s="263"/>
      <c r="AF1007" s="263"/>
      <c r="AG1007" s="263"/>
      <c r="AH1007" s="263"/>
      <c r="AI1007" s="263"/>
      <c r="AJ1007" s="263"/>
      <c r="AK1007" s="263"/>
    </row>
    <row r="1008">
      <c r="L1008" s="262"/>
      <c r="Q1008" s="262"/>
      <c r="R1008" s="262"/>
      <c r="S1008" s="262"/>
      <c r="T1008" s="262"/>
      <c r="U1008" s="262"/>
      <c r="V1008" s="262"/>
      <c r="W1008" s="263"/>
      <c r="X1008" s="263"/>
      <c r="Y1008" s="263"/>
      <c r="Z1008" s="263"/>
      <c r="AA1008" s="263"/>
      <c r="AB1008" s="263"/>
      <c r="AC1008" s="263"/>
      <c r="AD1008" s="263"/>
      <c r="AE1008" s="263"/>
      <c r="AF1008" s="263"/>
      <c r="AG1008" s="263"/>
      <c r="AH1008" s="263"/>
      <c r="AI1008" s="263"/>
      <c r="AJ1008" s="263"/>
      <c r="AK1008" s="263"/>
    </row>
    <row r="1009">
      <c r="L1009" s="262"/>
      <c r="Q1009" s="262"/>
      <c r="R1009" s="262"/>
      <c r="S1009" s="262"/>
      <c r="T1009" s="262"/>
      <c r="U1009" s="262"/>
      <c r="V1009" s="262"/>
      <c r="W1009" s="263"/>
      <c r="X1009" s="263"/>
      <c r="Y1009" s="263"/>
      <c r="Z1009" s="263"/>
      <c r="AA1009" s="263"/>
      <c r="AB1009" s="263"/>
      <c r="AC1009" s="263"/>
      <c r="AD1009" s="263"/>
      <c r="AE1009" s="263"/>
      <c r="AF1009" s="263"/>
      <c r="AG1009" s="263"/>
      <c r="AH1009" s="263"/>
      <c r="AI1009" s="263"/>
      <c r="AJ1009" s="263"/>
      <c r="AK1009" s="263"/>
    </row>
    <row r="1010">
      <c r="L1010" s="262"/>
      <c r="Q1010" s="262"/>
      <c r="R1010" s="262"/>
      <c r="S1010" s="262"/>
      <c r="T1010" s="262"/>
      <c r="U1010" s="262"/>
      <c r="V1010" s="262"/>
      <c r="W1010" s="263"/>
      <c r="X1010" s="263"/>
      <c r="Y1010" s="263"/>
      <c r="Z1010" s="263"/>
      <c r="AA1010" s="263"/>
      <c r="AB1010" s="263"/>
      <c r="AC1010" s="263"/>
      <c r="AD1010" s="263"/>
      <c r="AE1010" s="263"/>
      <c r="AF1010" s="263"/>
      <c r="AG1010" s="263"/>
      <c r="AH1010" s="263"/>
      <c r="AI1010" s="263"/>
      <c r="AJ1010" s="263"/>
      <c r="AK1010" s="263"/>
    </row>
    <row r="1011">
      <c r="L1011" s="262"/>
      <c r="Q1011" s="262"/>
      <c r="R1011" s="262"/>
      <c r="S1011" s="262"/>
      <c r="T1011" s="262"/>
      <c r="U1011" s="262"/>
      <c r="V1011" s="262"/>
      <c r="W1011" s="263"/>
      <c r="X1011" s="263"/>
      <c r="Y1011" s="263"/>
      <c r="Z1011" s="263"/>
      <c r="AA1011" s="263"/>
      <c r="AB1011" s="263"/>
      <c r="AC1011" s="263"/>
      <c r="AD1011" s="263"/>
      <c r="AE1011" s="263"/>
      <c r="AF1011" s="263"/>
      <c r="AG1011" s="263"/>
      <c r="AH1011" s="263"/>
      <c r="AI1011" s="263"/>
      <c r="AJ1011" s="263"/>
      <c r="AK1011" s="263"/>
    </row>
    <row r="1012">
      <c r="L1012" s="262"/>
      <c r="Q1012" s="262"/>
      <c r="R1012" s="262"/>
      <c r="S1012" s="262"/>
      <c r="T1012" s="262"/>
      <c r="U1012" s="262"/>
      <c r="V1012" s="262"/>
      <c r="W1012" s="263"/>
      <c r="X1012" s="263"/>
      <c r="Y1012" s="263"/>
      <c r="Z1012" s="263"/>
      <c r="AA1012" s="263"/>
      <c r="AB1012" s="263"/>
      <c r="AC1012" s="263"/>
      <c r="AD1012" s="263"/>
      <c r="AE1012" s="263"/>
      <c r="AF1012" s="263"/>
      <c r="AG1012" s="263"/>
      <c r="AH1012" s="263"/>
      <c r="AI1012" s="263"/>
      <c r="AJ1012" s="263"/>
      <c r="AK1012" s="263"/>
    </row>
    <row r="1013">
      <c r="L1013" s="262"/>
      <c r="Q1013" s="262"/>
      <c r="R1013" s="262"/>
      <c r="S1013" s="262"/>
      <c r="T1013" s="262"/>
      <c r="U1013" s="262"/>
      <c r="V1013" s="262"/>
      <c r="W1013" s="263"/>
      <c r="X1013" s="263"/>
      <c r="Y1013" s="263"/>
      <c r="Z1013" s="263"/>
      <c r="AA1013" s="263"/>
      <c r="AB1013" s="263"/>
      <c r="AC1013" s="263"/>
      <c r="AD1013" s="263"/>
      <c r="AE1013" s="263"/>
      <c r="AF1013" s="263"/>
      <c r="AG1013" s="263"/>
      <c r="AH1013" s="263"/>
      <c r="AI1013" s="263"/>
      <c r="AJ1013" s="263"/>
      <c r="AK1013" s="263"/>
    </row>
    <row r="1014">
      <c r="L1014" s="262"/>
      <c r="Q1014" s="262"/>
      <c r="R1014" s="262"/>
      <c r="S1014" s="262"/>
      <c r="T1014" s="262"/>
      <c r="U1014" s="262"/>
      <c r="V1014" s="262"/>
      <c r="W1014" s="263"/>
      <c r="X1014" s="263"/>
      <c r="Y1014" s="263"/>
      <c r="Z1014" s="263"/>
      <c r="AA1014" s="263"/>
      <c r="AB1014" s="263"/>
      <c r="AC1014" s="263"/>
      <c r="AD1014" s="263"/>
      <c r="AE1014" s="263"/>
      <c r="AF1014" s="263"/>
      <c r="AG1014" s="263"/>
      <c r="AH1014" s="263"/>
      <c r="AI1014" s="263"/>
      <c r="AJ1014" s="263"/>
      <c r="AK1014" s="263"/>
    </row>
    <row r="1015">
      <c r="L1015" s="262"/>
      <c r="Q1015" s="262"/>
      <c r="R1015" s="262"/>
      <c r="S1015" s="262"/>
      <c r="T1015" s="262"/>
      <c r="U1015" s="262"/>
      <c r="V1015" s="262"/>
      <c r="W1015" s="263"/>
      <c r="X1015" s="263"/>
      <c r="Y1015" s="263"/>
      <c r="Z1015" s="263"/>
      <c r="AA1015" s="263"/>
      <c r="AB1015" s="263"/>
      <c r="AC1015" s="263"/>
      <c r="AD1015" s="263"/>
      <c r="AE1015" s="263"/>
      <c r="AF1015" s="263"/>
      <c r="AG1015" s="263"/>
      <c r="AH1015" s="263"/>
      <c r="AI1015" s="263"/>
      <c r="AJ1015" s="263"/>
      <c r="AK1015" s="263"/>
    </row>
    <row r="1016">
      <c r="L1016" s="262"/>
      <c r="Q1016" s="262"/>
      <c r="R1016" s="262"/>
      <c r="S1016" s="262"/>
      <c r="T1016" s="262"/>
      <c r="U1016" s="262"/>
      <c r="V1016" s="262"/>
      <c r="W1016" s="263"/>
      <c r="X1016" s="263"/>
      <c r="Y1016" s="263"/>
      <c r="Z1016" s="263"/>
      <c r="AA1016" s="263"/>
      <c r="AB1016" s="263"/>
      <c r="AC1016" s="263"/>
      <c r="AD1016" s="263"/>
      <c r="AE1016" s="263"/>
      <c r="AF1016" s="263"/>
      <c r="AG1016" s="263"/>
      <c r="AH1016" s="263"/>
      <c r="AI1016" s="263"/>
      <c r="AJ1016" s="263"/>
      <c r="AK1016" s="263"/>
    </row>
    <row r="1017">
      <c r="L1017" s="262"/>
      <c r="Q1017" s="262"/>
      <c r="R1017" s="262"/>
      <c r="S1017" s="262"/>
      <c r="T1017" s="262"/>
      <c r="U1017" s="262"/>
      <c r="V1017" s="262"/>
      <c r="W1017" s="263"/>
      <c r="X1017" s="263"/>
      <c r="Y1017" s="263"/>
      <c r="Z1017" s="263"/>
      <c r="AA1017" s="263"/>
      <c r="AB1017" s="263"/>
      <c r="AC1017" s="263"/>
      <c r="AD1017" s="263"/>
      <c r="AE1017" s="263"/>
      <c r="AF1017" s="263"/>
      <c r="AG1017" s="263"/>
      <c r="AH1017" s="263"/>
      <c r="AI1017" s="263"/>
      <c r="AJ1017" s="263"/>
      <c r="AK1017" s="263"/>
    </row>
    <row r="1018">
      <c r="L1018" s="262"/>
      <c r="Q1018" s="262"/>
      <c r="R1018" s="262"/>
      <c r="S1018" s="262"/>
      <c r="T1018" s="262"/>
      <c r="U1018" s="262"/>
      <c r="V1018" s="262"/>
      <c r="W1018" s="263"/>
      <c r="X1018" s="263"/>
      <c r="Y1018" s="263"/>
      <c r="Z1018" s="263"/>
      <c r="AA1018" s="263"/>
      <c r="AB1018" s="263"/>
      <c r="AC1018" s="263"/>
      <c r="AD1018" s="263"/>
      <c r="AE1018" s="263"/>
      <c r="AF1018" s="263"/>
      <c r="AG1018" s="263"/>
      <c r="AH1018" s="263"/>
      <c r="AI1018" s="263"/>
      <c r="AJ1018" s="263"/>
      <c r="AK1018" s="263"/>
    </row>
    <row r="1019">
      <c r="L1019" s="262"/>
      <c r="Q1019" s="262"/>
      <c r="R1019" s="262"/>
      <c r="S1019" s="262"/>
      <c r="T1019" s="262"/>
      <c r="U1019" s="262"/>
      <c r="V1019" s="262"/>
      <c r="W1019" s="263"/>
      <c r="X1019" s="263"/>
      <c r="Y1019" s="263"/>
      <c r="Z1019" s="263"/>
      <c r="AA1019" s="263"/>
      <c r="AB1019" s="263"/>
      <c r="AC1019" s="263"/>
      <c r="AD1019" s="263"/>
      <c r="AE1019" s="263"/>
      <c r="AF1019" s="263"/>
      <c r="AG1019" s="263"/>
      <c r="AH1019" s="263"/>
      <c r="AI1019" s="263"/>
      <c r="AJ1019" s="263"/>
      <c r="AK1019" s="263"/>
    </row>
    <row r="1020">
      <c r="L1020" s="262"/>
      <c r="Q1020" s="262"/>
      <c r="R1020" s="262"/>
      <c r="S1020" s="262"/>
      <c r="T1020" s="262"/>
      <c r="U1020" s="262"/>
      <c r="V1020" s="262"/>
      <c r="W1020" s="263"/>
      <c r="X1020" s="263"/>
      <c r="Y1020" s="263"/>
      <c r="Z1020" s="263"/>
      <c r="AA1020" s="263"/>
      <c r="AB1020" s="263"/>
      <c r="AC1020" s="263"/>
      <c r="AD1020" s="263"/>
      <c r="AE1020" s="263"/>
      <c r="AF1020" s="263"/>
      <c r="AG1020" s="263"/>
      <c r="AH1020" s="263"/>
      <c r="AI1020" s="263"/>
      <c r="AJ1020" s="263"/>
      <c r="AK1020" s="263"/>
    </row>
    <row r="1021">
      <c r="L1021" s="262"/>
      <c r="Q1021" s="262"/>
      <c r="R1021" s="262"/>
      <c r="S1021" s="262"/>
      <c r="T1021" s="262"/>
      <c r="U1021" s="262"/>
      <c r="V1021" s="262"/>
      <c r="W1021" s="263"/>
      <c r="X1021" s="263"/>
      <c r="Y1021" s="263"/>
      <c r="Z1021" s="263"/>
      <c r="AA1021" s="263"/>
      <c r="AB1021" s="263"/>
      <c r="AC1021" s="263"/>
      <c r="AD1021" s="263"/>
      <c r="AE1021" s="263"/>
      <c r="AF1021" s="263"/>
      <c r="AG1021" s="263"/>
      <c r="AH1021" s="263"/>
      <c r="AI1021" s="263"/>
      <c r="AJ1021" s="263"/>
      <c r="AK1021" s="263"/>
    </row>
    <row r="1022">
      <c r="L1022" s="262"/>
      <c r="Q1022" s="262"/>
      <c r="R1022" s="262"/>
      <c r="S1022" s="262"/>
      <c r="T1022" s="262"/>
      <c r="U1022" s="262"/>
      <c r="V1022" s="262"/>
      <c r="W1022" s="263"/>
      <c r="X1022" s="263"/>
      <c r="Y1022" s="263"/>
      <c r="Z1022" s="263"/>
      <c r="AA1022" s="263"/>
      <c r="AB1022" s="263"/>
      <c r="AC1022" s="263"/>
      <c r="AD1022" s="263"/>
      <c r="AE1022" s="263"/>
      <c r="AF1022" s="263"/>
      <c r="AG1022" s="263"/>
      <c r="AH1022" s="263"/>
      <c r="AI1022" s="263"/>
      <c r="AJ1022" s="263"/>
      <c r="AK1022" s="263"/>
    </row>
    <row r="1023">
      <c r="L1023" s="262"/>
      <c r="Q1023" s="262"/>
      <c r="R1023" s="262"/>
      <c r="S1023" s="262"/>
      <c r="T1023" s="262"/>
      <c r="U1023" s="262"/>
      <c r="V1023" s="262"/>
      <c r="W1023" s="263"/>
      <c r="X1023" s="263"/>
      <c r="Y1023" s="263"/>
      <c r="Z1023" s="263"/>
      <c r="AA1023" s="263"/>
      <c r="AB1023" s="263"/>
      <c r="AC1023" s="263"/>
      <c r="AD1023" s="263"/>
      <c r="AE1023" s="263"/>
      <c r="AF1023" s="263"/>
      <c r="AG1023" s="263"/>
      <c r="AH1023" s="263"/>
      <c r="AI1023" s="263"/>
      <c r="AJ1023" s="263"/>
      <c r="AK1023" s="263"/>
    </row>
    <row r="1024">
      <c r="L1024" s="262"/>
      <c r="Q1024" s="262"/>
      <c r="R1024" s="262"/>
      <c r="S1024" s="262"/>
      <c r="T1024" s="262"/>
      <c r="U1024" s="262"/>
      <c r="V1024" s="262"/>
      <c r="W1024" s="263"/>
      <c r="X1024" s="263"/>
      <c r="Y1024" s="263"/>
      <c r="Z1024" s="263"/>
      <c r="AA1024" s="263"/>
      <c r="AB1024" s="263"/>
      <c r="AC1024" s="263"/>
      <c r="AD1024" s="263"/>
      <c r="AE1024" s="263"/>
      <c r="AF1024" s="263"/>
      <c r="AG1024" s="263"/>
      <c r="AH1024" s="263"/>
      <c r="AI1024" s="263"/>
      <c r="AJ1024" s="263"/>
      <c r="AK1024" s="263"/>
    </row>
    <row r="1025">
      <c r="L1025" s="262"/>
      <c r="Q1025" s="262"/>
      <c r="R1025" s="262"/>
      <c r="S1025" s="262"/>
      <c r="T1025" s="262"/>
      <c r="U1025" s="262"/>
      <c r="V1025" s="262"/>
      <c r="W1025" s="263"/>
      <c r="X1025" s="263"/>
      <c r="Y1025" s="263"/>
      <c r="Z1025" s="263"/>
      <c r="AA1025" s="263"/>
      <c r="AB1025" s="263"/>
      <c r="AC1025" s="263"/>
      <c r="AD1025" s="263"/>
      <c r="AE1025" s="263"/>
      <c r="AF1025" s="263"/>
      <c r="AG1025" s="263"/>
      <c r="AH1025" s="263"/>
      <c r="AI1025" s="263"/>
      <c r="AJ1025" s="263"/>
      <c r="AK1025" s="263"/>
    </row>
    <row r="1026">
      <c r="L1026" s="262"/>
      <c r="Q1026" s="262"/>
      <c r="R1026" s="262"/>
      <c r="S1026" s="262"/>
      <c r="T1026" s="262"/>
      <c r="U1026" s="262"/>
      <c r="V1026" s="262"/>
      <c r="W1026" s="263"/>
      <c r="X1026" s="263"/>
      <c r="Y1026" s="263"/>
      <c r="Z1026" s="263"/>
      <c r="AA1026" s="263"/>
      <c r="AB1026" s="263"/>
      <c r="AC1026" s="263"/>
      <c r="AD1026" s="263"/>
      <c r="AE1026" s="263"/>
      <c r="AF1026" s="263"/>
      <c r="AG1026" s="263"/>
      <c r="AH1026" s="263"/>
      <c r="AI1026" s="263"/>
      <c r="AJ1026" s="263"/>
      <c r="AK1026" s="263"/>
    </row>
    <row r="1027">
      <c r="L1027" s="262"/>
      <c r="Q1027" s="262"/>
      <c r="R1027" s="262"/>
      <c r="S1027" s="262"/>
      <c r="T1027" s="262"/>
      <c r="U1027" s="262"/>
      <c r="V1027" s="262"/>
      <c r="W1027" s="263"/>
      <c r="X1027" s="263"/>
      <c r="Y1027" s="263"/>
      <c r="Z1027" s="263"/>
      <c r="AA1027" s="263"/>
      <c r="AB1027" s="263"/>
      <c r="AC1027" s="263"/>
      <c r="AD1027" s="263"/>
      <c r="AE1027" s="263"/>
      <c r="AF1027" s="263"/>
      <c r="AG1027" s="263"/>
      <c r="AH1027" s="263"/>
      <c r="AI1027" s="263"/>
      <c r="AJ1027" s="263"/>
      <c r="AK1027" s="263"/>
    </row>
    <row r="1028">
      <c r="L1028" s="262"/>
      <c r="Q1028" s="262"/>
      <c r="R1028" s="262"/>
      <c r="S1028" s="262"/>
      <c r="T1028" s="262"/>
      <c r="U1028" s="262"/>
      <c r="V1028" s="262"/>
      <c r="W1028" s="263"/>
      <c r="X1028" s="263"/>
      <c r="Y1028" s="263"/>
      <c r="Z1028" s="263"/>
      <c r="AA1028" s="263"/>
      <c r="AB1028" s="263"/>
      <c r="AC1028" s="263"/>
      <c r="AD1028" s="263"/>
      <c r="AE1028" s="263"/>
      <c r="AF1028" s="263"/>
      <c r="AG1028" s="263"/>
      <c r="AH1028" s="263"/>
      <c r="AI1028" s="263"/>
      <c r="AJ1028" s="263"/>
      <c r="AK1028" s="263"/>
    </row>
    <row r="1029">
      <c r="L1029" s="262"/>
      <c r="Q1029" s="262"/>
      <c r="R1029" s="262"/>
      <c r="S1029" s="262"/>
      <c r="T1029" s="262"/>
      <c r="U1029" s="262"/>
      <c r="V1029" s="262"/>
      <c r="W1029" s="263"/>
      <c r="X1029" s="263"/>
      <c r="Y1029" s="263"/>
      <c r="Z1029" s="263"/>
      <c r="AA1029" s="263"/>
      <c r="AB1029" s="263"/>
      <c r="AC1029" s="263"/>
      <c r="AD1029" s="263"/>
      <c r="AE1029" s="263"/>
      <c r="AF1029" s="263"/>
      <c r="AG1029" s="263"/>
      <c r="AH1029" s="263"/>
      <c r="AI1029" s="263"/>
      <c r="AJ1029" s="263"/>
      <c r="AK1029" s="263"/>
    </row>
    <row r="1030">
      <c r="L1030" s="262"/>
      <c r="Q1030" s="262"/>
      <c r="R1030" s="262"/>
      <c r="S1030" s="262"/>
      <c r="T1030" s="262"/>
      <c r="U1030" s="262"/>
      <c r="V1030" s="262"/>
      <c r="W1030" s="263"/>
      <c r="X1030" s="263"/>
      <c r="Y1030" s="263"/>
      <c r="Z1030" s="263"/>
      <c r="AA1030" s="263"/>
      <c r="AB1030" s="263"/>
      <c r="AC1030" s="263"/>
      <c r="AD1030" s="263"/>
      <c r="AE1030" s="263"/>
      <c r="AF1030" s="263"/>
      <c r="AG1030" s="263"/>
      <c r="AH1030" s="263"/>
      <c r="AI1030" s="263"/>
      <c r="AJ1030" s="263"/>
      <c r="AK1030" s="263"/>
    </row>
    <row r="1031">
      <c r="L1031" s="262"/>
      <c r="Q1031" s="262"/>
      <c r="R1031" s="262"/>
      <c r="S1031" s="262"/>
      <c r="T1031" s="262"/>
      <c r="U1031" s="262"/>
      <c r="V1031" s="262"/>
      <c r="W1031" s="263"/>
      <c r="X1031" s="263"/>
      <c r="Y1031" s="263"/>
      <c r="Z1031" s="263"/>
      <c r="AA1031" s="263"/>
      <c r="AB1031" s="263"/>
      <c r="AC1031" s="263"/>
      <c r="AD1031" s="263"/>
      <c r="AE1031" s="263"/>
      <c r="AF1031" s="263"/>
      <c r="AG1031" s="263"/>
      <c r="AH1031" s="263"/>
      <c r="AI1031" s="263"/>
      <c r="AJ1031" s="263"/>
      <c r="AK1031" s="263"/>
    </row>
    <row r="1032">
      <c r="L1032" s="262"/>
      <c r="Q1032" s="262"/>
      <c r="R1032" s="262"/>
      <c r="S1032" s="262"/>
      <c r="T1032" s="262"/>
      <c r="U1032" s="262"/>
      <c r="V1032" s="262"/>
      <c r="W1032" s="263"/>
      <c r="X1032" s="263"/>
      <c r="Y1032" s="263"/>
      <c r="Z1032" s="263"/>
      <c r="AA1032" s="263"/>
      <c r="AB1032" s="263"/>
      <c r="AC1032" s="263"/>
      <c r="AD1032" s="263"/>
      <c r="AE1032" s="263"/>
      <c r="AF1032" s="263"/>
      <c r="AG1032" s="263"/>
      <c r="AH1032" s="263"/>
      <c r="AI1032" s="263"/>
      <c r="AJ1032" s="263"/>
      <c r="AK1032" s="263"/>
    </row>
  </sheetData>
  <mergeCells count="3">
    <mergeCell ref="A3:A6"/>
    <mergeCell ref="A9:A12"/>
    <mergeCell ref="A15:A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3.88"/>
    <col customWidth="1" min="3" max="3" width="18.5"/>
    <col customWidth="1" min="4" max="4" width="19.5"/>
    <col customWidth="1" min="5" max="5" width="18.13"/>
    <col customWidth="1" min="6" max="25" width="7.63"/>
  </cols>
  <sheetData>
    <row r="1">
      <c r="A1" s="255" t="s">
        <v>490</v>
      </c>
      <c r="B1" s="217">
        <f>'스킬 및 딜사이클'!C32</f>
        <v>6</v>
      </c>
      <c r="C1" s="255"/>
      <c r="D1" s="255"/>
      <c r="E1" s="255"/>
      <c r="F1" s="255"/>
      <c r="G1" s="255"/>
      <c r="H1" s="255"/>
      <c r="I1" s="255"/>
      <c r="J1" s="255"/>
      <c r="K1" s="255"/>
      <c r="L1" s="1"/>
      <c r="M1" s="264"/>
      <c r="N1" s="264"/>
      <c r="O1" s="264"/>
      <c r="P1" s="264"/>
      <c r="Q1" s="1"/>
      <c r="R1" s="25"/>
      <c r="S1" s="25"/>
      <c r="T1" s="25"/>
      <c r="U1" s="25"/>
      <c r="V1" s="25"/>
      <c r="W1" s="253"/>
      <c r="X1" s="1"/>
      <c r="Y1" s="25"/>
      <c r="Z1" s="25"/>
      <c r="AA1" s="25"/>
      <c r="AB1" s="25"/>
      <c r="AC1" s="25"/>
      <c r="AD1" s="253"/>
      <c r="AE1" s="1"/>
    </row>
    <row r="2">
      <c r="A2" s="255" t="s">
        <v>491</v>
      </c>
      <c r="B2" s="217">
        <f>'스킬 및 딜사이클'!AJ44</f>
        <v>13.935</v>
      </c>
      <c r="C2" s="255"/>
      <c r="D2" s="255" t="s">
        <v>492</v>
      </c>
      <c r="E2" s="254">
        <f t="array" ref="E2">XLOOKUP(MIN(H12:H30), H12:H30, A12:A30, , 0, -1)</f>
        <v>4</v>
      </c>
      <c r="F2" s="255"/>
      <c r="G2" s="255"/>
      <c r="H2" s="255"/>
      <c r="I2" s="255"/>
      <c r="J2" s="255"/>
      <c r="K2" s="255"/>
      <c r="L2" s="255"/>
      <c r="M2" s="264"/>
      <c r="N2" s="264"/>
      <c r="O2" s="264"/>
      <c r="P2" s="264"/>
      <c r="Q2" s="1"/>
      <c r="R2" s="264"/>
      <c r="S2" s="264"/>
      <c r="T2" s="264"/>
      <c r="U2" s="264"/>
      <c r="V2" s="264"/>
      <c r="W2" s="265"/>
      <c r="X2" s="1"/>
      <c r="Y2" s="264"/>
      <c r="Z2" s="264"/>
      <c r="AA2" s="264"/>
      <c r="AB2" s="264"/>
      <c r="AC2" s="264"/>
      <c r="AD2" s="265"/>
      <c r="AE2" s="1"/>
    </row>
    <row r="3">
      <c r="A3" s="255" t="s">
        <v>493</v>
      </c>
      <c r="B3" s="217">
        <f>'스킬 및 딜사이클'!AJ43</f>
        <v>6.136504</v>
      </c>
      <c r="C3" s="255"/>
      <c r="D3" s="255" t="s">
        <v>494</v>
      </c>
      <c r="E3" s="254">
        <f t="array" ref="E3">INDEX(H12:H30, MATCH(MIN(H12:H30), H12:H30, 0))</f>
        <v>9.039</v>
      </c>
      <c r="F3" s="255"/>
      <c r="G3" s="255"/>
      <c r="H3" s="255"/>
      <c r="I3" s="255"/>
      <c r="J3" s="255"/>
      <c r="K3" s="255"/>
      <c r="L3" s="255"/>
      <c r="M3" s="264"/>
      <c r="N3" s="264"/>
      <c r="O3" s="264"/>
      <c r="P3" s="264"/>
      <c r="Q3" s="1"/>
      <c r="R3" s="264"/>
      <c r="S3" s="264"/>
      <c r="T3" s="264"/>
      <c r="U3" s="264"/>
      <c r="V3" s="264"/>
      <c r="W3" s="265"/>
      <c r="X3" s="1"/>
      <c r="Y3" s="264"/>
      <c r="Z3" s="264"/>
      <c r="AA3" s="264"/>
      <c r="AB3" s="264"/>
      <c r="AC3" s="264"/>
      <c r="AD3" s="265"/>
      <c r="AE3" s="1"/>
    </row>
    <row r="4">
      <c r="A4" s="255" t="s">
        <v>495</v>
      </c>
      <c r="B4" s="217">
        <f>'스킬 및 딜사이클'!AJ46</f>
        <v>0.716896</v>
      </c>
      <c r="C4" s="255"/>
      <c r="D4" s="238"/>
      <c r="E4" s="255"/>
      <c r="F4" s="255"/>
      <c r="G4" s="255"/>
      <c r="H4" s="255"/>
      <c r="I4" s="255"/>
      <c r="J4" s="255"/>
      <c r="K4" s="238"/>
      <c r="L4" s="255"/>
      <c r="M4" s="264"/>
      <c r="N4" s="264"/>
      <c r="O4" s="264"/>
      <c r="P4" s="264"/>
      <c r="Q4" s="1"/>
      <c r="R4" s="264"/>
      <c r="S4" s="264"/>
      <c r="T4" s="264"/>
      <c r="U4" s="264"/>
      <c r="V4" s="264"/>
      <c r="W4" s="265"/>
      <c r="X4" s="1"/>
      <c r="Y4" s="264"/>
      <c r="Z4" s="264"/>
      <c r="AA4" s="264"/>
      <c r="AB4" s="264"/>
      <c r="AC4" s="264"/>
      <c r="AD4" s="265"/>
      <c r="AE4" s="1"/>
    </row>
    <row r="5">
      <c r="A5" s="255" t="s">
        <v>496</v>
      </c>
      <c r="B5" s="217">
        <f>'종합'!$C$4/'종합'!$C$3</f>
        <v>0</v>
      </c>
      <c r="C5" s="255"/>
      <c r="D5" s="255"/>
      <c r="E5" s="255"/>
      <c r="F5" s="255"/>
      <c r="G5" s="255"/>
      <c r="H5" s="255"/>
      <c r="I5" s="255"/>
      <c r="J5" s="255"/>
      <c r="K5" s="255"/>
      <c r="L5" s="238"/>
      <c r="M5" s="264"/>
      <c r="N5" s="264"/>
      <c r="O5" s="264"/>
      <c r="P5" s="264"/>
      <c r="Q5" s="238"/>
      <c r="R5" s="264"/>
      <c r="S5" s="264"/>
      <c r="T5" s="264"/>
      <c r="U5" s="264"/>
      <c r="V5" s="264"/>
      <c r="W5" s="265"/>
      <c r="X5" s="1"/>
      <c r="Y5" s="264"/>
      <c r="Z5" s="264"/>
      <c r="AA5" s="264"/>
      <c r="AB5" s="264"/>
      <c r="AC5" s="264"/>
      <c r="AD5" s="265"/>
      <c r="AE5" s="1"/>
    </row>
    <row r="6">
      <c r="A6" s="255" t="s">
        <v>497</v>
      </c>
      <c r="B6" s="217">
        <f>if(OR('무기룬'!$B$13=TRUE, '무기룬'!$B$28=TRUE),0.09,0)+IF('무기룬'!$B$14=TRUE,0.08,0)</f>
        <v>0.09</v>
      </c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64"/>
      <c r="N6" s="264"/>
      <c r="O6" s="264"/>
      <c r="P6" s="264"/>
      <c r="Q6" s="1"/>
      <c r="R6" s="264"/>
      <c r="S6" s="264"/>
      <c r="T6" s="264"/>
      <c r="U6" s="264"/>
      <c r="V6" s="264"/>
      <c r="W6" s="265"/>
      <c r="X6" s="1"/>
      <c r="Y6" s="264"/>
      <c r="Z6" s="264"/>
      <c r="AA6" s="264"/>
      <c r="AB6" s="264"/>
      <c r="AC6" s="264"/>
      <c r="AD6" s="265"/>
      <c r="AE6" s="1"/>
    </row>
    <row r="7">
      <c r="A7" s="255" t="s">
        <v>498</v>
      </c>
      <c r="B7" s="217">
        <f>if('방어구룬'!$B$32=true,0.03,0)*if('방어구룬'!$B$49=true,2,1)</f>
        <v>0</v>
      </c>
      <c r="C7" s="255"/>
      <c r="D7" s="255"/>
      <c r="E7" s="255"/>
      <c r="F7" s="255"/>
      <c r="G7" s="255"/>
      <c r="H7" s="255"/>
      <c r="I7" s="255"/>
      <c r="J7" s="255"/>
      <c r="K7" s="255"/>
      <c r="L7" s="255"/>
      <c r="M7" s="264"/>
      <c r="N7" s="264"/>
      <c r="O7" s="264"/>
      <c r="P7" s="264"/>
      <c r="Q7" s="1"/>
      <c r="R7" s="264"/>
      <c r="S7" s="264"/>
      <c r="T7" s="264"/>
      <c r="U7" s="264"/>
      <c r="V7" s="264"/>
      <c r="W7" s="265"/>
      <c r="X7" s="1"/>
      <c r="Y7" s="264"/>
      <c r="Z7" s="264"/>
      <c r="AA7" s="264"/>
      <c r="AB7" s="264"/>
      <c r="AC7" s="264"/>
      <c r="AD7" s="265"/>
      <c r="AE7" s="1"/>
    </row>
    <row r="8">
      <c r="A8" s="266" t="s">
        <v>499</v>
      </c>
      <c r="B8" s="215">
        <f>'스킬 및 딜사이클'!$R$28</f>
        <v>13.6</v>
      </c>
      <c r="C8" s="255"/>
      <c r="D8" s="255"/>
      <c r="E8" s="255"/>
      <c r="F8" s="255"/>
      <c r="G8" s="255"/>
      <c r="H8" s="255"/>
      <c r="I8" s="255"/>
      <c r="J8" s="255"/>
      <c r="K8" s="255"/>
      <c r="L8" s="255"/>
      <c r="M8" s="264"/>
      <c r="N8" s="264"/>
      <c r="O8" s="264"/>
      <c r="P8" s="264"/>
      <c r="Q8" s="1"/>
      <c r="R8" s="264"/>
      <c r="S8" s="264"/>
      <c r="T8" s="264"/>
      <c r="U8" s="264"/>
      <c r="V8" s="264"/>
      <c r="W8" s="265"/>
      <c r="X8" s="1"/>
      <c r="Y8" s="264"/>
      <c r="Z8" s="264"/>
      <c r="AA8" s="264"/>
      <c r="AB8" s="264"/>
      <c r="AC8" s="264"/>
      <c r="AD8" s="265"/>
      <c r="AE8" s="1"/>
    </row>
    <row r="9">
      <c r="A9" s="255"/>
      <c r="B9" s="215"/>
      <c r="C9" s="255"/>
      <c r="D9" s="255"/>
      <c r="E9" s="255"/>
      <c r="F9" s="255"/>
      <c r="G9" s="255"/>
      <c r="H9" s="255"/>
      <c r="I9" s="255"/>
      <c r="J9" s="255"/>
      <c r="K9" s="255"/>
      <c r="L9" s="255"/>
      <c r="M9" s="264"/>
      <c r="N9" s="264"/>
      <c r="O9" s="264"/>
      <c r="P9" s="264"/>
      <c r="Q9" s="1"/>
      <c r="R9" s="264"/>
      <c r="S9" s="264"/>
      <c r="T9" s="264"/>
      <c r="U9" s="264"/>
      <c r="V9" s="264"/>
      <c r="W9" s="265"/>
      <c r="X9" s="1"/>
      <c r="Y9" s="264"/>
      <c r="Z9" s="264"/>
      <c r="AA9" s="264"/>
      <c r="AB9" s="264"/>
      <c r="AC9" s="264"/>
      <c r="AD9" s="265"/>
      <c r="AE9" s="1"/>
    </row>
    <row r="10">
      <c r="A10" s="255"/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64"/>
      <c r="N10" s="264"/>
      <c r="O10" s="264"/>
      <c r="P10" s="264"/>
      <c r="Q10" s="1"/>
      <c r="R10" s="264"/>
      <c r="S10" s="264"/>
      <c r="T10" s="264"/>
      <c r="U10" s="264"/>
      <c r="V10" s="264"/>
      <c r="W10" s="265"/>
      <c r="X10" s="1"/>
      <c r="Y10" s="264"/>
      <c r="Z10" s="264"/>
      <c r="AA10" s="264"/>
      <c r="AB10" s="264"/>
      <c r="AC10" s="264"/>
      <c r="AD10" s="265"/>
      <c r="AE10" s="1"/>
    </row>
    <row r="11">
      <c r="A11" s="255" t="s">
        <v>500</v>
      </c>
      <c r="B11" s="255" t="s">
        <v>501</v>
      </c>
      <c r="C11" s="255" t="s">
        <v>502</v>
      </c>
      <c r="D11" s="238" t="s">
        <v>503</v>
      </c>
      <c r="E11" s="254" t="s">
        <v>504</v>
      </c>
      <c r="F11" s="254" t="s">
        <v>505</v>
      </c>
      <c r="G11" s="254" t="s">
        <v>506</v>
      </c>
      <c r="H11" s="254" t="s">
        <v>507</v>
      </c>
      <c r="I11" s="254" t="s">
        <v>508</v>
      </c>
      <c r="J11" s="267" t="s">
        <v>509</v>
      </c>
      <c r="K11" s="254" t="s">
        <v>510</v>
      </c>
      <c r="L11" s="255"/>
      <c r="M11" s="264"/>
      <c r="N11" s="264"/>
      <c r="O11" s="264"/>
      <c r="P11" s="264"/>
      <c r="Q11" s="5"/>
      <c r="R11" s="268"/>
      <c r="S11" s="264"/>
      <c r="T11" s="264"/>
      <c r="U11" s="264"/>
      <c r="V11" s="264"/>
      <c r="W11" s="265"/>
      <c r="X11" s="1"/>
      <c r="Y11" s="264"/>
      <c r="Z11" s="264"/>
      <c r="AA11" s="264"/>
      <c r="AB11" s="264"/>
      <c r="AC11" s="264"/>
      <c r="AD11" s="265"/>
      <c r="AE11" s="1"/>
    </row>
    <row r="12">
      <c r="A12" s="254">
        <v>0.0</v>
      </c>
      <c r="B12" s="267">
        <f t="shared" ref="B12:B30" si="1">IF(A12&lt;&gt;"", $B$3+(A12*$B$4), "")</f>
        <v>6.136504</v>
      </c>
      <c r="C12" s="254">
        <f t="shared" ref="C12:C30" si="2">IF(A12&lt;&gt;"", B12/(1-$B$5), "")</f>
        <v>6.136504</v>
      </c>
      <c r="D12" s="254">
        <f t="shared" ref="D12:D30" si="3">IF(A12&lt;&gt;"", $B$2-($B$8*A12*$B$6), "")</f>
        <v>13.935</v>
      </c>
      <c r="E12" s="254">
        <f t="shared" ref="E12:E30" si="4">IF(A12&lt;&gt;"", D12/(1+($B$1/$B$2)*8*$B$7), "")</f>
        <v>13.935</v>
      </c>
      <c r="F12" s="254">
        <f t="shared" ref="F12:F30" si="5">IF(A12&lt;&gt;"", D12/1.18, "")</f>
        <v>11.80932203</v>
      </c>
      <c r="G12" s="254">
        <f t="shared" ref="G12:G30" si="6">IF(A12&lt;&gt;"", max(E12,F12), "")</f>
        <v>13.935</v>
      </c>
      <c r="H12" s="254">
        <f t="shared" ref="H12:H30" si="7">IF(A12&lt;&gt;"", MAX(C12, G12), "")</f>
        <v>13.935</v>
      </c>
      <c r="I12" s="254">
        <f t="shared" ref="I12:I30" si="8">H12-B12</f>
        <v>7.798496</v>
      </c>
      <c r="J12" s="267">
        <f t="shared" ref="J12:J30" si="9">IF(A12&lt;&gt;"", H12*$B$5, "")</f>
        <v>0</v>
      </c>
      <c r="K12" s="254">
        <f t="shared" ref="K12:K30" si="10">IF(A12&lt;&gt;"", MIN(6, (8*$B$1)/H12), "")</f>
        <v>3.444564047</v>
      </c>
      <c r="L12" s="255"/>
      <c r="M12" s="264"/>
      <c r="N12" s="264"/>
      <c r="O12" s="264"/>
      <c r="P12" s="264"/>
      <c r="Q12" s="1"/>
      <c r="R12" s="264"/>
      <c r="S12" s="264"/>
      <c r="T12" s="264"/>
      <c r="U12" s="264"/>
      <c r="V12" s="264"/>
      <c r="W12" s="265"/>
      <c r="X12" s="1"/>
      <c r="Y12" s="264"/>
      <c r="Z12" s="264"/>
      <c r="AA12" s="264"/>
      <c r="AB12" s="264"/>
      <c r="AC12" s="264"/>
      <c r="AD12" s="265"/>
      <c r="AE12" s="1"/>
    </row>
    <row r="13">
      <c r="A13" s="254">
        <v>1.0</v>
      </c>
      <c r="B13" s="267">
        <f t="shared" si="1"/>
        <v>6.8534</v>
      </c>
      <c r="C13" s="254">
        <f t="shared" si="2"/>
        <v>6.8534</v>
      </c>
      <c r="D13" s="254">
        <f t="shared" si="3"/>
        <v>12.711</v>
      </c>
      <c r="E13" s="254">
        <f t="shared" si="4"/>
        <v>12.711</v>
      </c>
      <c r="F13" s="254">
        <f t="shared" si="5"/>
        <v>10.7720339</v>
      </c>
      <c r="G13" s="254">
        <f t="shared" si="6"/>
        <v>12.711</v>
      </c>
      <c r="H13" s="254">
        <f t="shared" si="7"/>
        <v>12.711</v>
      </c>
      <c r="I13" s="254">
        <f t="shared" si="8"/>
        <v>5.8576</v>
      </c>
      <c r="J13" s="267">
        <f t="shared" si="9"/>
        <v>0</v>
      </c>
      <c r="K13" s="254">
        <f t="shared" si="10"/>
        <v>3.776256785</v>
      </c>
      <c r="L13" s="255"/>
      <c r="M13" s="264"/>
      <c r="N13" s="264"/>
      <c r="O13" s="264"/>
      <c r="P13" s="264"/>
      <c r="Q13" s="1"/>
      <c r="R13" s="264"/>
      <c r="S13" s="264"/>
      <c r="T13" s="264"/>
      <c r="U13" s="264"/>
      <c r="V13" s="264"/>
      <c r="W13" s="265"/>
      <c r="X13" s="1"/>
      <c r="Y13" s="264"/>
      <c r="Z13" s="264"/>
      <c r="AA13" s="264"/>
      <c r="AB13" s="264"/>
      <c r="AC13" s="264"/>
      <c r="AD13" s="265"/>
      <c r="AE13" s="1"/>
    </row>
    <row r="14">
      <c r="A14" s="254">
        <v>2.0</v>
      </c>
      <c r="B14" s="267">
        <f t="shared" si="1"/>
        <v>7.570296</v>
      </c>
      <c r="C14" s="254">
        <f t="shared" si="2"/>
        <v>7.570296</v>
      </c>
      <c r="D14" s="254">
        <f t="shared" si="3"/>
        <v>11.487</v>
      </c>
      <c r="E14" s="254">
        <f t="shared" si="4"/>
        <v>11.487</v>
      </c>
      <c r="F14" s="254">
        <f t="shared" si="5"/>
        <v>9.734745763</v>
      </c>
      <c r="G14" s="254">
        <f t="shared" si="6"/>
        <v>11.487</v>
      </c>
      <c r="H14" s="254">
        <f t="shared" si="7"/>
        <v>11.487</v>
      </c>
      <c r="I14" s="254">
        <f t="shared" si="8"/>
        <v>3.916704</v>
      </c>
      <c r="J14" s="267">
        <f t="shared" si="9"/>
        <v>0</v>
      </c>
      <c r="K14" s="254">
        <f t="shared" si="10"/>
        <v>4.17863672</v>
      </c>
      <c r="L14" s="255"/>
      <c r="M14" s="264"/>
      <c r="N14" s="264"/>
      <c r="O14" s="264"/>
      <c r="P14" s="264"/>
      <c r="Q14" s="1"/>
      <c r="R14" s="264"/>
      <c r="S14" s="264"/>
      <c r="T14" s="264"/>
      <c r="U14" s="264"/>
      <c r="V14" s="264"/>
      <c r="W14" s="265"/>
      <c r="X14" s="1"/>
      <c r="Y14" s="264"/>
      <c r="Z14" s="264"/>
      <c r="AA14" s="264"/>
      <c r="AB14" s="264"/>
      <c r="AC14" s="264"/>
      <c r="AD14" s="265"/>
      <c r="AE14" s="1"/>
    </row>
    <row r="15">
      <c r="A15" s="254">
        <v>3.0</v>
      </c>
      <c r="B15" s="267">
        <f t="shared" si="1"/>
        <v>8.287192</v>
      </c>
      <c r="C15" s="254">
        <f t="shared" si="2"/>
        <v>8.287192</v>
      </c>
      <c r="D15" s="254">
        <f t="shared" si="3"/>
        <v>10.263</v>
      </c>
      <c r="E15" s="254">
        <f t="shared" si="4"/>
        <v>10.263</v>
      </c>
      <c r="F15" s="254">
        <f t="shared" si="5"/>
        <v>8.697457627</v>
      </c>
      <c r="G15" s="254">
        <f t="shared" si="6"/>
        <v>10.263</v>
      </c>
      <c r="H15" s="254">
        <f t="shared" si="7"/>
        <v>10.263</v>
      </c>
      <c r="I15" s="254">
        <f t="shared" si="8"/>
        <v>1.975808</v>
      </c>
      <c r="J15" s="267">
        <f t="shared" si="9"/>
        <v>0</v>
      </c>
      <c r="K15" s="254">
        <f t="shared" si="10"/>
        <v>4.676995031</v>
      </c>
      <c r="L15" s="255"/>
      <c r="M15" s="264"/>
      <c r="N15" s="264"/>
      <c r="O15" s="264"/>
      <c r="P15" s="264"/>
      <c r="Q15" s="1"/>
      <c r="R15" s="264"/>
      <c r="S15" s="264"/>
      <c r="T15" s="264"/>
      <c r="U15" s="264"/>
      <c r="V15" s="264"/>
      <c r="W15" s="265"/>
      <c r="X15" s="1"/>
      <c r="Y15" s="264"/>
      <c r="Z15" s="264"/>
      <c r="AA15" s="264"/>
      <c r="AB15" s="264"/>
      <c r="AC15" s="264"/>
      <c r="AD15" s="265"/>
      <c r="AE15" s="1"/>
    </row>
    <row r="16">
      <c r="A16" s="254">
        <v>4.0</v>
      </c>
      <c r="B16" s="267">
        <f t="shared" si="1"/>
        <v>9.004088</v>
      </c>
      <c r="C16" s="254">
        <f t="shared" si="2"/>
        <v>9.004088</v>
      </c>
      <c r="D16" s="254">
        <f t="shared" si="3"/>
        <v>9.039</v>
      </c>
      <c r="E16" s="254">
        <f t="shared" si="4"/>
        <v>9.039</v>
      </c>
      <c r="F16" s="254">
        <f t="shared" si="5"/>
        <v>7.660169492</v>
      </c>
      <c r="G16" s="254">
        <f t="shared" si="6"/>
        <v>9.039</v>
      </c>
      <c r="H16" s="254">
        <f t="shared" si="7"/>
        <v>9.039</v>
      </c>
      <c r="I16" s="254">
        <f t="shared" si="8"/>
        <v>0.034912</v>
      </c>
      <c r="J16" s="267">
        <f t="shared" si="9"/>
        <v>0</v>
      </c>
      <c r="K16" s="254">
        <f t="shared" si="10"/>
        <v>5.310321938</v>
      </c>
      <c r="L16" s="255"/>
      <c r="M16" s="264"/>
      <c r="N16" s="264"/>
      <c r="O16" s="264"/>
      <c r="P16" s="264"/>
      <c r="Q16" s="1"/>
      <c r="R16" s="264"/>
      <c r="S16" s="264"/>
      <c r="T16" s="264"/>
      <c r="U16" s="264"/>
      <c r="V16" s="264"/>
      <c r="W16" s="265"/>
      <c r="X16" s="1"/>
      <c r="Y16" s="264"/>
      <c r="Z16" s="264"/>
      <c r="AA16" s="264"/>
      <c r="AB16" s="264"/>
      <c r="AC16" s="264"/>
      <c r="AD16" s="265"/>
      <c r="AE16" s="1"/>
    </row>
    <row r="17">
      <c r="A17" s="254">
        <v>5.0</v>
      </c>
      <c r="B17" s="267">
        <f t="shared" si="1"/>
        <v>9.720984</v>
      </c>
      <c r="C17" s="254">
        <f t="shared" si="2"/>
        <v>9.720984</v>
      </c>
      <c r="D17" s="254">
        <f t="shared" si="3"/>
        <v>7.815</v>
      </c>
      <c r="E17" s="254">
        <f t="shared" si="4"/>
        <v>7.815</v>
      </c>
      <c r="F17" s="254">
        <f t="shared" si="5"/>
        <v>6.622881356</v>
      </c>
      <c r="G17" s="254">
        <f t="shared" si="6"/>
        <v>7.815</v>
      </c>
      <c r="H17" s="254">
        <f t="shared" si="7"/>
        <v>9.720984</v>
      </c>
      <c r="I17" s="254">
        <f t="shared" si="8"/>
        <v>0</v>
      </c>
      <c r="J17" s="267">
        <f t="shared" si="9"/>
        <v>0</v>
      </c>
      <c r="K17" s="254">
        <f t="shared" si="10"/>
        <v>4.937771732</v>
      </c>
      <c r="L17" s="255"/>
      <c r="M17" s="264"/>
      <c r="N17" s="264"/>
      <c r="O17" s="264"/>
      <c r="P17" s="264"/>
      <c r="Q17" s="1"/>
      <c r="R17" s="264"/>
      <c r="S17" s="264"/>
      <c r="T17" s="264"/>
      <c r="U17" s="264"/>
      <c r="V17" s="264"/>
      <c r="W17" s="265"/>
      <c r="X17" s="1"/>
      <c r="Y17" s="264"/>
      <c r="Z17" s="264"/>
      <c r="AA17" s="264"/>
      <c r="AB17" s="264"/>
      <c r="AC17" s="264"/>
      <c r="AD17" s="265"/>
      <c r="AE17" s="1"/>
    </row>
    <row r="18">
      <c r="A18" s="254">
        <v>6.0</v>
      </c>
      <c r="B18" s="267">
        <f t="shared" si="1"/>
        <v>10.43788</v>
      </c>
      <c r="C18" s="254">
        <f t="shared" si="2"/>
        <v>10.43788</v>
      </c>
      <c r="D18" s="254">
        <f t="shared" si="3"/>
        <v>6.591</v>
      </c>
      <c r="E18" s="254">
        <f t="shared" si="4"/>
        <v>6.591</v>
      </c>
      <c r="F18" s="254">
        <f t="shared" si="5"/>
        <v>5.58559322</v>
      </c>
      <c r="G18" s="254">
        <f t="shared" si="6"/>
        <v>6.591</v>
      </c>
      <c r="H18" s="254">
        <f t="shared" si="7"/>
        <v>10.43788</v>
      </c>
      <c r="I18" s="254">
        <f t="shared" si="8"/>
        <v>0</v>
      </c>
      <c r="J18" s="267">
        <f t="shared" si="9"/>
        <v>0</v>
      </c>
      <c r="K18" s="254">
        <f t="shared" si="10"/>
        <v>4.598634972</v>
      </c>
      <c r="L18" s="255"/>
      <c r="M18" s="264"/>
      <c r="N18" s="264"/>
      <c r="O18" s="264"/>
      <c r="P18" s="264"/>
      <c r="Q18" s="1"/>
      <c r="R18" s="264"/>
      <c r="S18" s="264"/>
      <c r="T18" s="264"/>
      <c r="U18" s="264"/>
      <c r="V18" s="264"/>
      <c r="W18" s="265"/>
      <c r="X18" s="1"/>
      <c r="Y18" s="264"/>
      <c r="Z18" s="264"/>
      <c r="AA18" s="264"/>
      <c r="AB18" s="264"/>
      <c r="AC18" s="264"/>
      <c r="AD18" s="265"/>
      <c r="AE18" s="1"/>
    </row>
    <row r="19">
      <c r="A19" s="254">
        <v>7.0</v>
      </c>
      <c r="B19" s="267">
        <f t="shared" si="1"/>
        <v>11.154776</v>
      </c>
      <c r="C19" s="254">
        <f t="shared" si="2"/>
        <v>11.154776</v>
      </c>
      <c r="D19" s="254">
        <f t="shared" si="3"/>
        <v>5.367</v>
      </c>
      <c r="E19" s="254">
        <f t="shared" si="4"/>
        <v>5.367</v>
      </c>
      <c r="F19" s="254">
        <f t="shared" si="5"/>
        <v>4.548305085</v>
      </c>
      <c r="G19" s="254">
        <f t="shared" si="6"/>
        <v>5.367</v>
      </c>
      <c r="H19" s="254">
        <f t="shared" si="7"/>
        <v>11.154776</v>
      </c>
      <c r="I19" s="254">
        <f t="shared" si="8"/>
        <v>0</v>
      </c>
      <c r="J19" s="267">
        <f t="shared" si="9"/>
        <v>0</v>
      </c>
      <c r="K19" s="254">
        <f t="shared" si="10"/>
        <v>4.303089547</v>
      </c>
      <c r="L19" s="255"/>
      <c r="M19" s="264"/>
      <c r="N19" s="264"/>
      <c r="O19" s="264"/>
      <c r="P19" s="264"/>
      <c r="Q19" s="1"/>
      <c r="R19" s="264"/>
      <c r="S19" s="264"/>
      <c r="T19" s="264"/>
      <c r="U19" s="264"/>
      <c r="V19" s="264"/>
      <c r="W19" s="265"/>
      <c r="X19" s="1"/>
      <c r="Y19" s="264"/>
      <c r="Z19" s="264"/>
      <c r="AA19" s="264"/>
      <c r="AB19" s="264"/>
      <c r="AC19" s="264"/>
      <c r="AD19" s="265"/>
      <c r="AE19" s="1"/>
    </row>
    <row r="20">
      <c r="A20" s="254">
        <v>8.0</v>
      </c>
      <c r="B20" s="267">
        <f t="shared" si="1"/>
        <v>11.871672</v>
      </c>
      <c r="C20" s="254">
        <f t="shared" si="2"/>
        <v>11.871672</v>
      </c>
      <c r="D20" s="254">
        <f t="shared" si="3"/>
        <v>4.143</v>
      </c>
      <c r="E20" s="254">
        <f t="shared" si="4"/>
        <v>4.143</v>
      </c>
      <c r="F20" s="254">
        <f t="shared" si="5"/>
        <v>3.511016949</v>
      </c>
      <c r="G20" s="254">
        <f t="shared" si="6"/>
        <v>4.143</v>
      </c>
      <c r="H20" s="254">
        <f t="shared" si="7"/>
        <v>11.871672</v>
      </c>
      <c r="I20" s="254">
        <f t="shared" si="8"/>
        <v>0</v>
      </c>
      <c r="J20" s="267">
        <f t="shared" si="9"/>
        <v>0</v>
      </c>
      <c r="K20" s="254">
        <f t="shared" si="10"/>
        <v>4.043238391</v>
      </c>
      <c r="L20" s="255"/>
      <c r="M20" s="264"/>
      <c r="N20" s="264"/>
      <c r="O20" s="264"/>
      <c r="P20" s="264"/>
      <c r="Q20" s="1"/>
      <c r="R20" s="264"/>
      <c r="S20" s="264"/>
      <c r="T20" s="264"/>
      <c r="U20" s="264"/>
      <c r="V20" s="264"/>
      <c r="W20" s="265"/>
      <c r="X20" s="1"/>
      <c r="Y20" s="264"/>
      <c r="Z20" s="264"/>
      <c r="AA20" s="264"/>
      <c r="AB20" s="264"/>
      <c r="AC20" s="264"/>
      <c r="AD20" s="265"/>
      <c r="AE20" s="1"/>
    </row>
    <row r="21">
      <c r="A21" s="254">
        <v>9.0</v>
      </c>
      <c r="B21" s="267">
        <f t="shared" si="1"/>
        <v>12.588568</v>
      </c>
      <c r="C21" s="254">
        <f t="shared" si="2"/>
        <v>12.588568</v>
      </c>
      <c r="D21" s="254">
        <f t="shared" si="3"/>
        <v>2.919</v>
      </c>
      <c r="E21" s="254">
        <f t="shared" si="4"/>
        <v>2.919</v>
      </c>
      <c r="F21" s="254">
        <f t="shared" si="5"/>
        <v>2.473728814</v>
      </c>
      <c r="G21" s="254">
        <f t="shared" si="6"/>
        <v>2.919</v>
      </c>
      <c r="H21" s="254">
        <f t="shared" si="7"/>
        <v>12.588568</v>
      </c>
      <c r="I21" s="254">
        <f t="shared" si="8"/>
        <v>0</v>
      </c>
      <c r="J21" s="267">
        <f t="shared" si="9"/>
        <v>0</v>
      </c>
      <c r="K21" s="254">
        <f t="shared" si="10"/>
        <v>3.812983335</v>
      </c>
      <c r="L21" s="255"/>
      <c r="M21" s="264"/>
      <c r="N21" s="264"/>
      <c r="O21" s="264"/>
      <c r="P21" s="264"/>
      <c r="Q21" s="1"/>
      <c r="R21" s="264"/>
      <c r="S21" s="264"/>
      <c r="T21" s="264"/>
      <c r="U21" s="264"/>
      <c r="V21" s="264"/>
      <c r="W21" s="265"/>
      <c r="X21" s="1"/>
      <c r="Y21" s="264"/>
      <c r="Z21" s="264"/>
      <c r="AA21" s="264"/>
      <c r="AB21" s="264"/>
      <c r="AC21" s="264"/>
      <c r="AD21" s="265"/>
      <c r="AE21" s="1"/>
    </row>
    <row r="22">
      <c r="A22" s="254">
        <v>10.0</v>
      </c>
      <c r="B22" s="267">
        <f t="shared" si="1"/>
        <v>13.305464</v>
      </c>
      <c r="C22" s="254">
        <f t="shared" si="2"/>
        <v>13.305464</v>
      </c>
      <c r="D22" s="254">
        <f t="shared" si="3"/>
        <v>1.695</v>
      </c>
      <c r="E22" s="254">
        <f t="shared" si="4"/>
        <v>1.695</v>
      </c>
      <c r="F22" s="254">
        <f t="shared" si="5"/>
        <v>1.436440678</v>
      </c>
      <c r="G22" s="254">
        <f t="shared" si="6"/>
        <v>1.695</v>
      </c>
      <c r="H22" s="254">
        <f t="shared" si="7"/>
        <v>13.305464</v>
      </c>
      <c r="I22" s="254">
        <f t="shared" si="8"/>
        <v>0</v>
      </c>
      <c r="J22" s="267">
        <f t="shared" si="9"/>
        <v>0</v>
      </c>
      <c r="K22" s="254">
        <f t="shared" si="10"/>
        <v>3.607540481</v>
      </c>
      <c r="L22" s="255"/>
      <c r="M22" s="264"/>
      <c r="N22" s="264"/>
      <c r="O22" s="264"/>
      <c r="P22" s="264"/>
      <c r="Q22" s="1"/>
      <c r="R22" s="264"/>
      <c r="S22" s="264"/>
      <c r="T22" s="264"/>
      <c r="U22" s="264"/>
      <c r="V22" s="264"/>
      <c r="W22" s="265"/>
      <c r="X22" s="1"/>
      <c r="Y22" s="264"/>
      <c r="Z22" s="264"/>
      <c r="AA22" s="264"/>
      <c r="AB22" s="264"/>
      <c r="AC22" s="264"/>
      <c r="AD22" s="265"/>
      <c r="AE22" s="1"/>
    </row>
    <row r="23">
      <c r="A23" s="254">
        <v>11.0</v>
      </c>
      <c r="B23" s="267">
        <f t="shared" si="1"/>
        <v>14.02236</v>
      </c>
      <c r="C23" s="254">
        <f t="shared" si="2"/>
        <v>14.02236</v>
      </c>
      <c r="D23" s="254">
        <f t="shared" si="3"/>
        <v>0.471</v>
      </c>
      <c r="E23" s="254">
        <f t="shared" si="4"/>
        <v>0.471</v>
      </c>
      <c r="F23" s="254">
        <f t="shared" si="5"/>
        <v>0.3991525424</v>
      </c>
      <c r="G23" s="254">
        <f t="shared" si="6"/>
        <v>0.471</v>
      </c>
      <c r="H23" s="254">
        <f t="shared" si="7"/>
        <v>14.02236</v>
      </c>
      <c r="I23" s="254">
        <f t="shared" si="8"/>
        <v>0</v>
      </c>
      <c r="J23" s="267">
        <f t="shared" si="9"/>
        <v>0</v>
      </c>
      <c r="K23" s="254">
        <f t="shared" si="10"/>
        <v>3.423104242</v>
      </c>
      <c r="L23" s="255"/>
      <c r="M23" s="264"/>
      <c r="N23" s="264"/>
      <c r="O23" s="264"/>
      <c r="P23" s="264"/>
      <c r="Q23" s="1"/>
      <c r="R23" s="264"/>
      <c r="S23" s="264"/>
      <c r="T23" s="264"/>
      <c r="U23" s="264"/>
      <c r="V23" s="264"/>
      <c r="W23" s="265"/>
      <c r="X23" s="1"/>
      <c r="Y23" s="264"/>
      <c r="Z23" s="264"/>
      <c r="AA23" s="264"/>
      <c r="AB23" s="264"/>
      <c r="AC23" s="264"/>
      <c r="AD23" s="265"/>
      <c r="AE23" s="1"/>
    </row>
    <row r="24">
      <c r="A24" s="254">
        <v>12.0</v>
      </c>
      <c r="B24" s="267">
        <f t="shared" si="1"/>
        <v>14.739256</v>
      </c>
      <c r="C24" s="254">
        <f t="shared" si="2"/>
        <v>14.739256</v>
      </c>
      <c r="D24" s="254">
        <f t="shared" si="3"/>
        <v>-0.753</v>
      </c>
      <c r="E24" s="254">
        <f t="shared" si="4"/>
        <v>-0.753</v>
      </c>
      <c r="F24" s="254">
        <f t="shared" si="5"/>
        <v>-0.6381355932</v>
      </c>
      <c r="G24" s="254">
        <f t="shared" si="6"/>
        <v>-0.6381355932</v>
      </c>
      <c r="H24" s="254">
        <f t="shared" si="7"/>
        <v>14.739256</v>
      </c>
      <c r="I24" s="254">
        <f t="shared" si="8"/>
        <v>0</v>
      </c>
      <c r="J24" s="267">
        <f t="shared" si="9"/>
        <v>0</v>
      </c>
      <c r="K24" s="254">
        <f t="shared" si="10"/>
        <v>3.256609425</v>
      </c>
      <c r="L24" s="255"/>
      <c r="M24" s="255"/>
      <c r="N24" s="25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254">
        <v>13.0</v>
      </c>
      <c r="B25" s="267">
        <f t="shared" si="1"/>
        <v>15.456152</v>
      </c>
      <c r="C25" s="254">
        <f t="shared" si="2"/>
        <v>15.456152</v>
      </c>
      <c r="D25" s="254">
        <f t="shared" si="3"/>
        <v>-1.977</v>
      </c>
      <c r="E25" s="254">
        <f t="shared" si="4"/>
        <v>-1.977</v>
      </c>
      <c r="F25" s="254">
        <f t="shared" si="5"/>
        <v>-1.675423729</v>
      </c>
      <c r="G25" s="254">
        <f t="shared" si="6"/>
        <v>-1.675423729</v>
      </c>
      <c r="H25" s="254">
        <f t="shared" si="7"/>
        <v>15.456152</v>
      </c>
      <c r="I25" s="254">
        <f t="shared" si="8"/>
        <v>0</v>
      </c>
      <c r="J25" s="267">
        <f t="shared" si="9"/>
        <v>0</v>
      </c>
      <c r="K25" s="254">
        <f t="shared" si="10"/>
        <v>3.105559521</v>
      </c>
      <c r="L25" s="255"/>
      <c r="M25" s="255"/>
      <c r="N25" s="25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254">
        <v>14.0</v>
      </c>
      <c r="B26" s="267">
        <f t="shared" si="1"/>
        <v>16.173048</v>
      </c>
      <c r="C26" s="254">
        <f t="shared" si="2"/>
        <v>16.173048</v>
      </c>
      <c r="D26" s="254">
        <f t="shared" si="3"/>
        <v>-3.201</v>
      </c>
      <c r="E26" s="254">
        <f t="shared" si="4"/>
        <v>-3.201</v>
      </c>
      <c r="F26" s="254">
        <f t="shared" si="5"/>
        <v>-2.712711864</v>
      </c>
      <c r="G26" s="254">
        <f t="shared" si="6"/>
        <v>-2.712711864</v>
      </c>
      <c r="H26" s="254">
        <f t="shared" si="7"/>
        <v>16.173048</v>
      </c>
      <c r="I26" s="254">
        <f t="shared" si="8"/>
        <v>0</v>
      </c>
      <c r="J26" s="267">
        <f t="shared" si="9"/>
        <v>0</v>
      </c>
      <c r="K26" s="254">
        <f t="shared" si="10"/>
        <v>2.96790067</v>
      </c>
      <c r="L26" s="255"/>
      <c r="M26" s="255"/>
      <c r="N26" s="25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254">
        <v>15.0</v>
      </c>
      <c r="B27" s="267">
        <f t="shared" si="1"/>
        <v>16.889944</v>
      </c>
      <c r="C27" s="254">
        <f t="shared" si="2"/>
        <v>16.889944</v>
      </c>
      <c r="D27" s="254">
        <f t="shared" si="3"/>
        <v>-4.425</v>
      </c>
      <c r="E27" s="254">
        <f t="shared" si="4"/>
        <v>-4.425</v>
      </c>
      <c r="F27" s="254">
        <f t="shared" si="5"/>
        <v>-3.75</v>
      </c>
      <c r="G27" s="254">
        <f t="shared" si="6"/>
        <v>-3.75</v>
      </c>
      <c r="H27" s="254">
        <f t="shared" si="7"/>
        <v>16.889944</v>
      </c>
      <c r="I27" s="254">
        <f t="shared" si="8"/>
        <v>0</v>
      </c>
      <c r="J27" s="267">
        <f t="shared" si="9"/>
        <v>0</v>
      </c>
      <c r="K27" s="254">
        <f t="shared" si="10"/>
        <v>2.841927717</v>
      </c>
      <c r="L27" s="255"/>
      <c r="M27" s="255"/>
      <c r="N27" s="25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254">
        <v>16.0</v>
      </c>
      <c r="B28" s="267">
        <f t="shared" si="1"/>
        <v>17.60684</v>
      </c>
      <c r="C28" s="254">
        <f t="shared" si="2"/>
        <v>17.60684</v>
      </c>
      <c r="D28" s="254">
        <f t="shared" si="3"/>
        <v>-5.649</v>
      </c>
      <c r="E28" s="254">
        <f t="shared" si="4"/>
        <v>-5.649</v>
      </c>
      <c r="F28" s="254">
        <f t="shared" si="5"/>
        <v>-4.787288136</v>
      </c>
      <c r="G28" s="254">
        <f t="shared" si="6"/>
        <v>-4.787288136</v>
      </c>
      <c r="H28" s="254">
        <f t="shared" si="7"/>
        <v>17.60684</v>
      </c>
      <c r="I28" s="254">
        <f t="shared" si="8"/>
        <v>0</v>
      </c>
      <c r="J28" s="267">
        <f t="shared" si="9"/>
        <v>0</v>
      </c>
      <c r="K28" s="254">
        <f t="shared" si="10"/>
        <v>2.726213222</v>
      </c>
      <c r="L28" s="255"/>
      <c r="M28" s="255"/>
      <c r="N28" s="25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254">
        <v>17.0</v>
      </c>
      <c r="B29" s="267">
        <f t="shared" si="1"/>
        <v>18.323736</v>
      </c>
      <c r="C29" s="254">
        <f t="shared" si="2"/>
        <v>18.323736</v>
      </c>
      <c r="D29" s="254">
        <f t="shared" si="3"/>
        <v>-6.873</v>
      </c>
      <c r="E29" s="254">
        <f t="shared" si="4"/>
        <v>-6.873</v>
      </c>
      <c r="F29" s="254">
        <f t="shared" si="5"/>
        <v>-5.824576271</v>
      </c>
      <c r="G29" s="254">
        <f t="shared" si="6"/>
        <v>-5.824576271</v>
      </c>
      <c r="H29" s="254">
        <f t="shared" si="7"/>
        <v>18.323736</v>
      </c>
      <c r="I29" s="254">
        <f t="shared" si="8"/>
        <v>0</v>
      </c>
      <c r="J29" s="267">
        <f t="shared" si="9"/>
        <v>0</v>
      </c>
      <c r="K29" s="254">
        <f t="shared" si="10"/>
        <v>2.61955313</v>
      </c>
      <c r="L29" s="269"/>
      <c r="M29" s="269"/>
      <c r="N29" s="269"/>
      <c r="O29" s="270"/>
      <c r="P29" s="270"/>
      <c r="Q29" s="270"/>
    </row>
    <row r="30">
      <c r="A30" s="254">
        <v>18.0</v>
      </c>
      <c r="B30" s="267">
        <f t="shared" si="1"/>
        <v>19.040632</v>
      </c>
      <c r="C30" s="254">
        <f t="shared" si="2"/>
        <v>19.040632</v>
      </c>
      <c r="D30" s="254">
        <f t="shared" si="3"/>
        <v>-8.097</v>
      </c>
      <c r="E30" s="254">
        <f t="shared" si="4"/>
        <v>-8.097</v>
      </c>
      <c r="F30" s="254">
        <f t="shared" si="5"/>
        <v>-6.861864407</v>
      </c>
      <c r="G30" s="254">
        <f t="shared" si="6"/>
        <v>-6.861864407</v>
      </c>
      <c r="H30" s="254">
        <f t="shared" si="7"/>
        <v>19.040632</v>
      </c>
      <c r="I30" s="254">
        <f t="shared" si="8"/>
        <v>0</v>
      </c>
      <c r="J30" s="267">
        <f t="shared" si="9"/>
        <v>0</v>
      </c>
      <c r="K30" s="254">
        <f t="shared" si="10"/>
        <v>2.520924726</v>
      </c>
      <c r="L30" s="269"/>
      <c r="M30" s="269"/>
      <c r="N30" s="269"/>
      <c r="O30" s="270"/>
      <c r="P30" s="270"/>
      <c r="Q30" s="270"/>
    </row>
    <row r="31">
      <c r="A31" s="254"/>
      <c r="B31" s="267"/>
      <c r="C31" s="254"/>
      <c r="D31" s="254"/>
      <c r="E31" s="254"/>
      <c r="F31" s="254"/>
      <c r="G31" s="254"/>
      <c r="H31" s="254"/>
      <c r="I31" s="254"/>
      <c r="J31" s="267"/>
      <c r="K31" s="254"/>
      <c r="L31" s="269"/>
      <c r="M31" s="269"/>
      <c r="N31" s="269"/>
      <c r="O31" s="270"/>
      <c r="P31" s="270"/>
      <c r="Q31" s="270"/>
    </row>
    <row r="32">
      <c r="A32" s="254"/>
      <c r="B32" s="267"/>
      <c r="C32" s="254"/>
      <c r="D32" s="254"/>
      <c r="E32" s="254"/>
      <c r="F32" s="254"/>
      <c r="G32" s="254"/>
      <c r="H32" s="254"/>
      <c r="I32" s="254"/>
      <c r="J32" s="267"/>
      <c r="K32" s="254"/>
      <c r="L32" s="269"/>
      <c r="M32" s="269"/>
      <c r="N32" s="269"/>
      <c r="O32" s="270"/>
      <c r="P32" s="270"/>
      <c r="Q32" s="270"/>
    </row>
    <row r="33">
      <c r="A33" s="254"/>
      <c r="B33" s="267"/>
      <c r="C33" s="254"/>
      <c r="D33" s="254"/>
      <c r="E33" s="254"/>
      <c r="F33" s="254"/>
      <c r="G33" s="254"/>
      <c r="H33" s="254"/>
      <c r="I33" s="254"/>
      <c r="J33" s="267"/>
      <c r="K33" s="254"/>
      <c r="L33" s="269"/>
      <c r="M33" s="269"/>
      <c r="N33" s="269"/>
      <c r="O33" s="270"/>
      <c r="P33" s="270"/>
      <c r="Q33" s="270"/>
    </row>
    <row r="34">
      <c r="A34" s="254"/>
      <c r="B34" s="267"/>
      <c r="C34" s="254"/>
      <c r="D34" s="254"/>
      <c r="E34" s="254"/>
      <c r="F34" s="254"/>
      <c r="G34" s="254"/>
      <c r="H34" s="254"/>
      <c r="I34" s="254"/>
      <c r="J34" s="267"/>
      <c r="K34" s="254"/>
      <c r="L34" s="269"/>
      <c r="M34" s="269"/>
      <c r="N34" s="269"/>
      <c r="O34" s="270"/>
      <c r="P34" s="270"/>
      <c r="Q34" s="270"/>
    </row>
    <row r="35">
      <c r="A35" s="254"/>
      <c r="B35" s="267"/>
      <c r="C35" s="254"/>
      <c r="D35" s="254"/>
      <c r="E35" s="254"/>
      <c r="F35" s="254"/>
      <c r="G35" s="254"/>
      <c r="H35" s="254"/>
      <c r="I35" s="254"/>
      <c r="J35" s="267"/>
      <c r="K35" s="254"/>
      <c r="L35" s="271"/>
      <c r="M35" s="271"/>
      <c r="N35" s="271"/>
      <c r="O35" s="270"/>
      <c r="P35" s="270"/>
      <c r="Q35" s="270"/>
    </row>
    <row r="36">
      <c r="A36" s="272"/>
      <c r="B36" s="255"/>
      <c r="C36" s="255"/>
      <c r="D36" s="255"/>
      <c r="E36" s="255"/>
      <c r="F36" s="255"/>
      <c r="G36" s="255"/>
      <c r="H36" s="255"/>
      <c r="I36" s="255"/>
      <c r="J36" s="255"/>
      <c r="K36" s="255"/>
      <c r="L36" s="269"/>
      <c r="M36" s="273"/>
      <c r="N36" s="269"/>
      <c r="O36" s="270"/>
      <c r="P36" s="270"/>
      <c r="Q36" s="270"/>
    </row>
    <row r="37">
      <c r="A37" s="255"/>
      <c r="B37" s="238"/>
      <c r="C37" s="238"/>
      <c r="D37" s="238"/>
      <c r="E37" s="238"/>
      <c r="F37" s="238"/>
      <c r="G37" s="238"/>
      <c r="H37" s="238"/>
      <c r="I37" s="238"/>
      <c r="J37" s="238"/>
      <c r="K37" s="238"/>
      <c r="L37" s="269"/>
      <c r="M37" s="269"/>
      <c r="N37" s="269"/>
      <c r="O37" s="270"/>
      <c r="P37" s="270"/>
      <c r="Q37" s="270"/>
    </row>
    <row r="38">
      <c r="A38" s="255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69"/>
      <c r="M38" s="269"/>
      <c r="N38" s="269"/>
      <c r="O38" s="270"/>
      <c r="P38" s="270"/>
      <c r="Q38" s="270"/>
    </row>
    <row r="39">
      <c r="A39" s="255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69"/>
      <c r="M39" s="269"/>
      <c r="N39" s="269"/>
      <c r="O39" s="270"/>
      <c r="P39" s="270"/>
      <c r="Q39" s="270"/>
    </row>
    <row r="40">
      <c r="A40" s="255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69"/>
      <c r="M40" s="269"/>
      <c r="N40" s="269"/>
      <c r="O40" s="270"/>
      <c r="P40" s="270"/>
      <c r="Q40" s="270"/>
    </row>
    <row r="41">
      <c r="A41" s="255" t="s">
        <v>490</v>
      </c>
      <c r="B41" s="217">
        <f>'스킬 및 딜사이클'!C54</f>
        <v>6</v>
      </c>
      <c r="C41" s="255"/>
      <c r="D41" s="255"/>
      <c r="E41" s="255"/>
      <c r="F41" s="255"/>
      <c r="G41" s="255"/>
      <c r="H41" s="255"/>
      <c r="I41" s="255"/>
      <c r="J41" s="255"/>
      <c r="K41" s="255"/>
      <c r="L41" s="269"/>
      <c r="M41" s="273"/>
      <c r="N41" s="269"/>
      <c r="O41" s="270"/>
      <c r="P41" s="270"/>
      <c r="Q41" s="270"/>
    </row>
    <row r="42">
      <c r="A42" s="255" t="s">
        <v>491</v>
      </c>
      <c r="B42" s="217">
        <f>'스킬 및 딜사이클'!AJ66</f>
        <v>13.935</v>
      </c>
      <c r="C42" s="255"/>
      <c r="D42" s="255" t="s">
        <v>492</v>
      </c>
      <c r="E42" s="254">
        <f t="array" ref="E42">XLOOKUP(MIN(H52:H70), H52:H70, A52:A70, , 0, -1)</f>
        <v>4</v>
      </c>
      <c r="F42" s="255"/>
      <c r="G42" s="255"/>
      <c r="H42" s="255"/>
      <c r="I42" s="255"/>
      <c r="J42" s="255"/>
      <c r="K42" s="255"/>
      <c r="L42" s="269"/>
      <c r="M42" s="269"/>
      <c r="N42" s="269"/>
      <c r="O42" s="270"/>
      <c r="P42" s="270"/>
      <c r="Q42" s="270"/>
    </row>
    <row r="43">
      <c r="A43" s="255" t="s">
        <v>493</v>
      </c>
      <c r="B43" s="217">
        <f>'스킬 및 딜사이클'!AJ65</f>
        <v>6.136504</v>
      </c>
      <c r="C43" s="255"/>
      <c r="D43" s="255" t="s">
        <v>494</v>
      </c>
      <c r="E43" s="254">
        <f t="array" ref="E43">INDEX(H52:H70, MATCH(MIN(H52:H70), H52:H70, 0))</f>
        <v>9.039</v>
      </c>
      <c r="F43" s="255"/>
      <c r="G43" s="255"/>
      <c r="H43" s="255"/>
      <c r="I43" s="255"/>
      <c r="J43" s="255"/>
      <c r="K43" s="255"/>
      <c r="L43" s="269"/>
      <c r="M43" s="269"/>
      <c r="N43" s="269"/>
      <c r="O43" s="270"/>
      <c r="P43" s="270"/>
      <c r="Q43" s="270"/>
    </row>
    <row r="44">
      <c r="A44" s="255" t="s">
        <v>495</v>
      </c>
      <c r="B44" s="217">
        <f>'스킬 및 딜사이클'!AJ68</f>
        <v>0.716896</v>
      </c>
      <c r="C44" s="255"/>
      <c r="D44" s="238"/>
      <c r="E44" s="255"/>
      <c r="F44" s="255"/>
      <c r="G44" s="255"/>
      <c r="H44" s="255"/>
      <c r="I44" s="255"/>
      <c r="J44" s="255"/>
      <c r="K44" s="238"/>
      <c r="L44" s="274"/>
      <c r="M44" s="274"/>
      <c r="N44" s="274"/>
      <c r="O44" s="275"/>
      <c r="P44" s="275"/>
      <c r="Q44" s="275"/>
    </row>
    <row r="45">
      <c r="A45" s="255" t="s">
        <v>496</v>
      </c>
      <c r="B45" s="218">
        <v>0.0</v>
      </c>
      <c r="C45" s="266" t="s">
        <v>511</v>
      </c>
      <c r="D45" s="255"/>
      <c r="E45" s="255"/>
      <c r="F45" s="255"/>
      <c r="G45" s="255"/>
      <c r="H45" s="255"/>
      <c r="I45" s="255"/>
      <c r="J45" s="255"/>
      <c r="K45" s="255"/>
    </row>
    <row r="46">
      <c r="A46" s="255" t="s">
        <v>497</v>
      </c>
      <c r="B46" s="217">
        <f>if(OR('무기룬'!$B$13=TRUE, '무기룬'!$B$28=TRUE),0.09,0)+IF('무기룬'!$B$14=TRUE,0.08,0)</f>
        <v>0.09</v>
      </c>
      <c r="C46" s="255"/>
      <c r="D46" s="255"/>
      <c r="E46" s="255"/>
      <c r="F46" s="255"/>
      <c r="G46" s="255"/>
      <c r="H46" s="255"/>
      <c r="I46" s="255"/>
      <c r="J46" s="255"/>
      <c r="K46" s="255"/>
    </row>
    <row r="47">
      <c r="A47" s="255" t="s">
        <v>498</v>
      </c>
      <c r="B47" s="217">
        <f>if('방어구룬'!$B$32=true,0.03,0)*if('방어구룬'!$B$49=true,2,1)</f>
        <v>0</v>
      </c>
      <c r="C47" s="255"/>
      <c r="D47" s="255"/>
      <c r="E47" s="255"/>
      <c r="F47" s="255"/>
      <c r="G47" s="255"/>
      <c r="H47" s="255"/>
      <c r="I47" s="255"/>
      <c r="J47" s="255"/>
      <c r="K47" s="255"/>
    </row>
    <row r="48">
      <c r="A48" s="266" t="s">
        <v>499</v>
      </c>
      <c r="B48" s="215">
        <f>'스킬 및 딜사이클'!$R$28</f>
        <v>13.6</v>
      </c>
      <c r="C48" s="255"/>
      <c r="D48" s="255"/>
      <c r="E48" s="255"/>
      <c r="F48" s="255"/>
      <c r="G48" s="255"/>
      <c r="H48" s="255"/>
      <c r="I48" s="255"/>
      <c r="J48" s="255"/>
      <c r="K48" s="255"/>
    </row>
    <row r="49">
      <c r="A49" s="255"/>
      <c r="B49" s="215"/>
      <c r="C49" s="255"/>
      <c r="D49" s="255"/>
      <c r="E49" s="255"/>
      <c r="F49" s="255"/>
      <c r="G49" s="255"/>
      <c r="H49" s="255"/>
      <c r="I49" s="255"/>
      <c r="J49" s="255"/>
      <c r="K49" s="255"/>
    </row>
    <row r="50">
      <c r="A50" s="255"/>
      <c r="B50" s="1"/>
      <c r="C50" s="255"/>
      <c r="D50" s="255"/>
      <c r="E50" s="255"/>
      <c r="F50" s="255"/>
      <c r="G50" s="255"/>
      <c r="H50" s="255"/>
      <c r="I50" s="255"/>
      <c r="J50" s="255"/>
      <c r="K50" s="255"/>
    </row>
    <row r="51">
      <c r="A51" s="255" t="s">
        <v>500</v>
      </c>
      <c r="B51" s="255" t="s">
        <v>501</v>
      </c>
      <c r="C51" s="255" t="s">
        <v>502</v>
      </c>
      <c r="D51" s="238" t="s">
        <v>503</v>
      </c>
      <c r="E51" s="254" t="s">
        <v>504</v>
      </c>
      <c r="F51" s="254" t="s">
        <v>505</v>
      </c>
      <c r="G51" s="254" t="s">
        <v>506</v>
      </c>
      <c r="H51" s="254" t="s">
        <v>507</v>
      </c>
      <c r="I51" s="254" t="s">
        <v>508</v>
      </c>
      <c r="J51" s="267" t="s">
        <v>509</v>
      </c>
      <c r="K51" s="254" t="s">
        <v>510</v>
      </c>
    </row>
    <row r="52">
      <c r="A52" s="254">
        <v>0.0</v>
      </c>
      <c r="B52" s="267">
        <f t="shared" ref="B52:B70" si="11">IF(A52&lt;&gt;"", $B$43+(A52*$B$44), "")</f>
        <v>6.136504</v>
      </c>
      <c r="C52" s="254">
        <f t="shared" ref="C52:C70" si="12">IF(A52&lt;&gt;"", B52/(1-$B$45), "")</f>
        <v>6.136504</v>
      </c>
      <c r="D52" s="254">
        <f t="shared" ref="D52:D70" si="13">IF(A52&lt;&gt;"", $B$42-($B$48*A52*$B$46), "")</f>
        <v>13.935</v>
      </c>
      <c r="E52" s="254">
        <f t="shared" ref="E52:E70" si="14">IF(A52&lt;&gt;"", D52/(1+($B$41/$B$42)*8*$B$47), "")</f>
        <v>13.935</v>
      </c>
      <c r="F52" s="254">
        <f t="shared" ref="F52:F70" si="15">IF(A52&lt;&gt;"", D52/1.18, "")</f>
        <v>11.80932203</v>
      </c>
      <c r="G52" s="254">
        <f t="shared" ref="G52:G70" si="16">IF(A52&lt;&gt;"", max(E52,F52), "")</f>
        <v>13.935</v>
      </c>
      <c r="H52" s="254">
        <f t="shared" ref="H52:H70" si="17">IF(A52&lt;&gt;"", MAX(C52, G52), "")</f>
        <v>13.935</v>
      </c>
      <c r="I52" s="254">
        <f t="shared" ref="I52:I70" si="18">H52-B52</f>
        <v>7.798496</v>
      </c>
      <c r="J52" s="267">
        <f t="shared" ref="J52:J70" si="19">IF(A52&lt;&gt;"", H52*$B$45, "")</f>
        <v>0</v>
      </c>
      <c r="K52" s="254">
        <f t="shared" ref="K52:K70" si="20">IF(A52&lt;&gt;"", MIN(6, (8*$B$41)/H52), "")</f>
        <v>3.444564047</v>
      </c>
    </row>
    <row r="53">
      <c r="A53" s="254">
        <v>1.0</v>
      </c>
      <c r="B53" s="267">
        <f t="shared" si="11"/>
        <v>6.8534</v>
      </c>
      <c r="C53" s="254">
        <f t="shared" si="12"/>
        <v>6.8534</v>
      </c>
      <c r="D53" s="254">
        <f t="shared" si="13"/>
        <v>12.711</v>
      </c>
      <c r="E53" s="254">
        <f t="shared" si="14"/>
        <v>12.711</v>
      </c>
      <c r="F53" s="254">
        <f t="shared" si="15"/>
        <v>10.7720339</v>
      </c>
      <c r="G53" s="254">
        <f t="shared" si="16"/>
        <v>12.711</v>
      </c>
      <c r="H53" s="254">
        <f t="shared" si="17"/>
        <v>12.711</v>
      </c>
      <c r="I53" s="254">
        <f t="shared" si="18"/>
        <v>5.8576</v>
      </c>
      <c r="J53" s="267">
        <f t="shared" si="19"/>
        <v>0</v>
      </c>
      <c r="K53" s="254">
        <f t="shared" si="20"/>
        <v>3.776256785</v>
      </c>
    </row>
    <row r="54">
      <c r="A54" s="254">
        <v>2.0</v>
      </c>
      <c r="B54" s="267">
        <f t="shared" si="11"/>
        <v>7.570296</v>
      </c>
      <c r="C54" s="254">
        <f t="shared" si="12"/>
        <v>7.570296</v>
      </c>
      <c r="D54" s="254">
        <f t="shared" si="13"/>
        <v>11.487</v>
      </c>
      <c r="E54" s="254">
        <f t="shared" si="14"/>
        <v>11.487</v>
      </c>
      <c r="F54" s="254">
        <f t="shared" si="15"/>
        <v>9.734745763</v>
      </c>
      <c r="G54" s="254">
        <f t="shared" si="16"/>
        <v>11.487</v>
      </c>
      <c r="H54" s="254">
        <f t="shared" si="17"/>
        <v>11.487</v>
      </c>
      <c r="I54" s="254">
        <f t="shared" si="18"/>
        <v>3.916704</v>
      </c>
      <c r="J54" s="267">
        <f t="shared" si="19"/>
        <v>0</v>
      </c>
      <c r="K54" s="254">
        <f t="shared" si="20"/>
        <v>4.17863672</v>
      </c>
    </row>
    <row r="55">
      <c r="A55" s="254">
        <v>3.0</v>
      </c>
      <c r="B55" s="267">
        <f t="shared" si="11"/>
        <v>8.287192</v>
      </c>
      <c r="C55" s="254">
        <f t="shared" si="12"/>
        <v>8.287192</v>
      </c>
      <c r="D55" s="254">
        <f t="shared" si="13"/>
        <v>10.263</v>
      </c>
      <c r="E55" s="254">
        <f t="shared" si="14"/>
        <v>10.263</v>
      </c>
      <c r="F55" s="254">
        <f t="shared" si="15"/>
        <v>8.697457627</v>
      </c>
      <c r="G55" s="254">
        <f t="shared" si="16"/>
        <v>10.263</v>
      </c>
      <c r="H55" s="254">
        <f t="shared" si="17"/>
        <v>10.263</v>
      </c>
      <c r="I55" s="254">
        <f t="shared" si="18"/>
        <v>1.975808</v>
      </c>
      <c r="J55" s="267">
        <f t="shared" si="19"/>
        <v>0</v>
      </c>
      <c r="K55" s="254">
        <f t="shared" si="20"/>
        <v>4.676995031</v>
      </c>
    </row>
    <row r="56">
      <c r="A56" s="254">
        <v>4.0</v>
      </c>
      <c r="B56" s="267">
        <f t="shared" si="11"/>
        <v>9.004088</v>
      </c>
      <c r="C56" s="254">
        <f t="shared" si="12"/>
        <v>9.004088</v>
      </c>
      <c r="D56" s="254">
        <f t="shared" si="13"/>
        <v>9.039</v>
      </c>
      <c r="E56" s="254">
        <f t="shared" si="14"/>
        <v>9.039</v>
      </c>
      <c r="F56" s="254">
        <f t="shared" si="15"/>
        <v>7.660169492</v>
      </c>
      <c r="G56" s="254">
        <f t="shared" si="16"/>
        <v>9.039</v>
      </c>
      <c r="H56" s="254">
        <f t="shared" si="17"/>
        <v>9.039</v>
      </c>
      <c r="I56" s="254">
        <f t="shared" si="18"/>
        <v>0.034912</v>
      </c>
      <c r="J56" s="267">
        <f t="shared" si="19"/>
        <v>0</v>
      </c>
      <c r="K56" s="254">
        <f t="shared" si="20"/>
        <v>5.310321938</v>
      </c>
    </row>
    <row r="57">
      <c r="A57" s="254">
        <v>5.0</v>
      </c>
      <c r="B57" s="267">
        <f t="shared" si="11"/>
        <v>9.720984</v>
      </c>
      <c r="C57" s="254">
        <f t="shared" si="12"/>
        <v>9.720984</v>
      </c>
      <c r="D57" s="254">
        <f t="shared" si="13"/>
        <v>7.815</v>
      </c>
      <c r="E57" s="254">
        <f t="shared" si="14"/>
        <v>7.815</v>
      </c>
      <c r="F57" s="254">
        <f t="shared" si="15"/>
        <v>6.622881356</v>
      </c>
      <c r="G57" s="254">
        <f t="shared" si="16"/>
        <v>7.815</v>
      </c>
      <c r="H57" s="254">
        <f t="shared" si="17"/>
        <v>9.720984</v>
      </c>
      <c r="I57" s="254">
        <f t="shared" si="18"/>
        <v>0</v>
      </c>
      <c r="J57" s="267">
        <f t="shared" si="19"/>
        <v>0</v>
      </c>
      <c r="K57" s="254">
        <f t="shared" si="20"/>
        <v>4.937771732</v>
      </c>
    </row>
    <row r="58">
      <c r="A58" s="254">
        <v>6.0</v>
      </c>
      <c r="B58" s="267">
        <f t="shared" si="11"/>
        <v>10.43788</v>
      </c>
      <c r="C58" s="254">
        <f t="shared" si="12"/>
        <v>10.43788</v>
      </c>
      <c r="D58" s="254">
        <f t="shared" si="13"/>
        <v>6.591</v>
      </c>
      <c r="E58" s="254">
        <f t="shared" si="14"/>
        <v>6.591</v>
      </c>
      <c r="F58" s="254">
        <f t="shared" si="15"/>
        <v>5.58559322</v>
      </c>
      <c r="G58" s="254">
        <f t="shared" si="16"/>
        <v>6.591</v>
      </c>
      <c r="H58" s="254">
        <f t="shared" si="17"/>
        <v>10.43788</v>
      </c>
      <c r="I58" s="254">
        <f t="shared" si="18"/>
        <v>0</v>
      </c>
      <c r="J58" s="267">
        <f t="shared" si="19"/>
        <v>0</v>
      </c>
      <c r="K58" s="254">
        <f t="shared" si="20"/>
        <v>4.598634972</v>
      </c>
    </row>
    <row r="59">
      <c r="A59" s="254">
        <v>7.0</v>
      </c>
      <c r="B59" s="267">
        <f t="shared" si="11"/>
        <v>11.154776</v>
      </c>
      <c r="C59" s="254">
        <f t="shared" si="12"/>
        <v>11.154776</v>
      </c>
      <c r="D59" s="254">
        <f t="shared" si="13"/>
        <v>5.367</v>
      </c>
      <c r="E59" s="254">
        <f t="shared" si="14"/>
        <v>5.367</v>
      </c>
      <c r="F59" s="254">
        <f t="shared" si="15"/>
        <v>4.548305085</v>
      </c>
      <c r="G59" s="254">
        <f t="shared" si="16"/>
        <v>5.367</v>
      </c>
      <c r="H59" s="254">
        <f t="shared" si="17"/>
        <v>11.154776</v>
      </c>
      <c r="I59" s="254">
        <f t="shared" si="18"/>
        <v>0</v>
      </c>
      <c r="J59" s="267">
        <f t="shared" si="19"/>
        <v>0</v>
      </c>
      <c r="K59" s="254">
        <f t="shared" si="20"/>
        <v>4.303089547</v>
      </c>
    </row>
    <row r="60">
      <c r="A60" s="254">
        <v>8.0</v>
      </c>
      <c r="B60" s="267">
        <f t="shared" si="11"/>
        <v>11.871672</v>
      </c>
      <c r="C60" s="254">
        <f t="shared" si="12"/>
        <v>11.871672</v>
      </c>
      <c r="D60" s="254">
        <f t="shared" si="13"/>
        <v>4.143</v>
      </c>
      <c r="E60" s="254">
        <f t="shared" si="14"/>
        <v>4.143</v>
      </c>
      <c r="F60" s="254">
        <f t="shared" si="15"/>
        <v>3.511016949</v>
      </c>
      <c r="G60" s="254">
        <f t="shared" si="16"/>
        <v>4.143</v>
      </c>
      <c r="H60" s="254">
        <f t="shared" si="17"/>
        <v>11.871672</v>
      </c>
      <c r="I60" s="254">
        <f t="shared" si="18"/>
        <v>0</v>
      </c>
      <c r="J60" s="267">
        <f t="shared" si="19"/>
        <v>0</v>
      </c>
      <c r="K60" s="254">
        <f t="shared" si="20"/>
        <v>4.043238391</v>
      </c>
    </row>
    <row r="61">
      <c r="A61" s="254">
        <v>9.0</v>
      </c>
      <c r="B61" s="267">
        <f t="shared" si="11"/>
        <v>12.588568</v>
      </c>
      <c r="C61" s="254">
        <f t="shared" si="12"/>
        <v>12.588568</v>
      </c>
      <c r="D61" s="254">
        <f t="shared" si="13"/>
        <v>2.919</v>
      </c>
      <c r="E61" s="254">
        <f t="shared" si="14"/>
        <v>2.919</v>
      </c>
      <c r="F61" s="254">
        <f t="shared" si="15"/>
        <v>2.473728814</v>
      </c>
      <c r="G61" s="254">
        <f t="shared" si="16"/>
        <v>2.919</v>
      </c>
      <c r="H61" s="254">
        <f t="shared" si="17"/>
        <v>12.588568</v>
      </c>
      <c r="I61" s="254">
        <f t="shared" si="18"/>
        <v>0</v>
      </c>
      <c r="J61" s="267">
        <f t="shared" si="19"/>
        <v>0</v>
      </c>
      <c r="K61" s="254">
        <f t="shared" si="20"/>
        <v>3.812983335</v>
      </c>
    </row>
    <row r="62">
      <c r="A62" s="254">
        <v>10.0</v>
      </c>
      <c r="B62" s="267">
        <f t="shared" si="11"/>
        <v>13.305464</v>
      </c>
      <c r="C62" s="254">
        <f t="shared" si="12"/>
        <v>13.305464</v>
      </c>
      <c r="D62" s="254">
        <f t="shared" si="13"/>
        <v>1.695</v>
      </c>
      <c r="E62" s="254">
        <f t="shared" si="14"/>
        <v>1.695</v>
      </c>
      <c r="F62" s="254">
        <f t="shared" si="15"/>
        <v>1.436440678</v>
      </c>
      <c r="G62" s="254">
        <f t="shared" si="16"/>
        <v>1.695</v>
      </c>
      <c r="H62" s="254">
        <f t="shared" si="17"/>
        <v>13.305464</v>
      </c>
      <c r="I62" s="254">
        <f t="shared" si="18"/>
        <v>0</v>
      </c>
      <c r="J62" s="267">
        <f t="shared" si="19"/>
        <v>0</v>
      </c>
      <c r="K62" s="254">
        <f t="shared" si="20"/>
        <v>3.607540481</v>
      </c>
    </row>
    <row r="63">
      <c r="A63" s="254">
        <v>11.0</v>
      </c>
      <c r="B63" s="267">
        <f t="shared" si="11"/>
        <v>14.02236</v>
      </c>
      <c r="C63" s="254">
        <f t="shared" si="12"/>
        <v>14.02236</v>
      </c>
      <c r="D63" s="254">
        <f t="shared" si="13"/>
        <v>0.471</v>
      </c>
      <c r="E63" s="254">
        <f t="shared" si="14"/>
        <v>0.471</v>
      </c>
      <c r="F63" s="254">
        <f t="shared" si="15"/>
        <v>0.3991525424</v>
      </c>
      <c r="G63" s="254">
        <f t="shared" si="16"/>
        <v>0.471</v>
      </c>
      <c r="H63" s="254">
        <f t="shared" si="17"/>
        <v>14.02236</v>
      </c>
      <c r="I63" s="254">
        <f t="shared" si="18"/>
        <v>0</v>
      </c>
      <c r="J63" s="267">
        <f t="shared" si="19"/>
        <v>0</v>
      </c>
      <c r="K63" s="254">
        <f t="shared" si="20"/>
        <v>3.423104242</v>
      </c>
    </row>
    <row r="64">
      <c r="A64" s="254">
        <v>12.0</v>
      </c>
      <c r="B64" s="267">
        <f t="shared" si="11"/>
        <v>14.739256</v>
      </c>
      <c r="C64" s="254">
        <f t="shared" si="12"/>
        <v>14.739256</v>
      </c>
      <c r="D64" s="254">
        <f t="shared" si="13"/>
        <v>-0.753</v>
      </c>
      <c r="E64" s="254">
        <f t="shared" si="14"/>
        <v>-0.753</v>
      </c>
      <c r="F64" s="254">
        <f t="shared" si="15"/>
        <v>-0.6381355932</v>
      </c>
      <c r="G64" s="254">
        <f t="shared" si="16"/>
        <v>-0.6381355932</v>
      </c>
      <c r="H64" s="254">
        <f t="shared" si="17"/>
        <v>14.739256</v>
      </c>
      <c r="I64" s="254">
        <f t="shared" si="18"/>
        <v>0</v>
      </c>
      <c r="J64" s="267">
        <f t="shared" si="19"/>
        <v>0</v>
      </c>
      <c r="K64" s="254">
        <f t="shared" si="20"/>
        <v>3.256609425</v>
      </c>
    </row>
    <row r="65">
      <c r="A65" s="254">
        <v>13.0</v>
      </c>
      <c r="B65" s="267">
        <f t="shared" si="11"/>
        <v>15.456152</v>
      </c>
      <c r="C65" s="254">
        <f t="shared" si="12"/>
        <v>15.456152</v>
      </c>
      <c r="D65" s="254">
        <f t="shared" si="13"/>
        <v>-1.977</v>
      </c>
      <c r="E65" s="254">
        <f t="shared" si="14"/>
        <v>-1.977</v>
      </c>
      <c r="F65" s="254">
        <f t="shared" si="15"/>
        <v>-1.675423729</v>
      </c>
      <c r="G65" s="254">
        <f t="shared" si="16"/>
        <v>-1.675423729</v>
      </c>
      <c r="H65" s="254">
        <f t="shared" si="17"/>
        <v>15.456152</v>
      </c>
      <c r="I65" s="254">
        <f t="shared" si="18"/>
        <v>0</v>
      </c>
      <c r="J65" s="267">
        <f t="shared" si="19"/>
        <v>0</v>
      </c>
      <c r="K65" s="254">
        <f t="shared" si="20"/>
        <v>3.105559521</v>
      </c>
    </row>
    <row r="66">
      <c r="A66" s="254">
        <v>14.0</v>
      </c>
      <c r="B66" s="267">
        <f t="shared" si="11"/>
        <v>16.173048</v>
      </c>
      <c r="C66" s="254">
        <f t="shared" si="12"/>
        <v>16.173048</v>
      </c>
      <c r="D66" s="254">
        <f t="shared" si="13"/>
        <v>-3.201</v>
      </c>
      <c r="E66" s="254">
        <f t="shared" si="14"/>
        <v>-3.201</v>
      </c>
      <c r="F66" s="254">
        <f t="shared" si="15"/>
        <v>-2.712711864</v>
      </c>
      <c r="G66" s="254">
        <f t="shared" si="16"/>
        <v>-2.712711864</v>
      </c>
      <c r="H66" s="254">
        <f t="shared" si="17"/>
        <v>16.173048</v>
      </c>
      <c r="I66" s="254">
        <f t="shared" si="18"/>
        <v>0</v>
      </c>
      <c r="J66" s="267">
        <f t="shared" si="19"/>
        <v>0</v>
      </c>
      <c r="K66" s="254">
        <f t="shared" si="20"/>
        <v>2.96790067</v>
      </c>
    </row>
    <row r="67">
      <c r="A67" s="254">
        <v>15.0</v>
      </c>
      <c r="B67" s="267">
        <f t="shared" si="11"/>
        <v>16.889944</v>
      </c>
      <c r="C67" s="254">
        <f t="shared" si="12"/>
        <v>16.889944</v>
      </c>
      <c r="D67" s="254">
        <f t="shared" si="13"/>
        <v>-4.425</v>
      </c>
      <c r="E67" s="254">
        <f t="shared" si="14"/>
        <v>-4.425</v>
      </c>
      <c r="F67" s="254">
        <f t="shared" si="15"/>
        <v>-3.75</v>
      </c>
      <c r="G67" s="254">
        <f t="shared" si="16"/>
        <v>-3.75</v>
      </c>
      <c r="H67" s="254">
        <f t="shared" si="17"/>
        <v>16.889944</v>
      </c>
      <c r="I67" s="254">
        <f t="shared" si="18"/>
        <v>0</v>
      </c>
      <c r="J67" s="267">
        <f t="shared" si="19"/>
        <v>0</v>
      </c>
      <c r="K67" s="254">
        <f t="shared" si="20"/>
        <v>2.841927717</v>
      </c>
    </row>
    <row r="68">
      <c r="A68" s="254">
        <v>16.0</v>
      </c>
      <c r="B68" s="267">
        <f t="shared" si="11"/>
        <v>17.60684</v>
      </c>
      <c r="C68" s="254">
        <f t="shared" si="12"/>
        <v>17.60684</v>
      </c>
      <c r="D68" s="254">
        <f t="shared" si="13"/>
        <v>-5.649</v>
      </c>
      <c r="E68" s="254">
        <f t="shared" si="14"/>
        <v>-5.649</v>
      </c>
      <c r="F68" s="254">
        <f t="shared" si="15"/>
        <v>-4.787288136</v>
      </c>
      <c r="G68" s="254">
        <f t="shared" si="16"/>
        <v>-4.787288136</v>
      </c>
      <c r="H68" s="254">
        <f t="shared" si="17"/>
        <v>17.60684</v>
      </c>
      <c r="I68" s="254">
        <f t="shared" si="18"/>
        <v>0</v>
      </c>
      <c r="J68" s="267">
        <f t="shared" si="19"/>
        <v>0</v>
      </c>
      <c r="K68" s="254">
        <f t="shared" si="20"/>
        <v>2.726213222</v>
      </c>
    </row>
    <row r="69">
      <c r="A69" s="254">
        <v>17.0</v>
      </c>
      <c r="B69" s="267">
        <f t="shared" si="11"/>
        <v>18.323736</v>
      </c>
      <c r="C69" s="254">
        <f t="shared" si="12"/>
        <v>18.323736</v>
      </c>
      <c r="D69" s="254">
        <f t="shared" si="13"/>
        <v>-6.873</v>
      </c>
      <c r="E69" s="254">
        <f t="shared" si="14"/>
        <v>-6.873</v>
      </c>
      <c r="F69" s="254">
        <f t="shared" si="15"/>
        <v>-5.824576271</v>
      </c>
      <c r="G69" s="254">
        <f t="shared" si="16"/>
        <v>-5.824576271</v>
      </c>
      <c r="H69" s="254">
        <f t="shared" si="17"/>
        <v>18.323736</v>
      </c>
      <c r="I69" s="254">
        <f t="shared" si="18"/>
        <v>0</v>
      </c>
      <c r="J69" s="267">
        <f t="shared" si="19"/>
        <v>0</v>
      </c>
      <c r="K69" s="254">
        <f t="shared" si="20"/>
        <v>2.61955313</v>
      </c>
    </row>
    <row r="70">
      <c r="A70" s="254">
        <v>18.0</v>
      </c>
      <c r="B70" s="267">
        <f t="shared" si="11"/>
        <v>19.040632</v>
      </c>
      <c r="C70" s="254">
        <f t="shared" si="12"/>
        <v>19.040632</v>
      </c>
      <c r="D70" s="254">
        <f t="shared" si="13"/>
        <v>-8.097</v>
      </c>
      <c r="E70" s="254">
        <f t="shared" si="14"/>
        <v>-8.097</v>
      </c>
      <c r="F70" s="254">
        <f t="shared" si="15"/>
        <v>-6.861864407</v>
      </c>
      <c r="G70" s="254">
        <f t="shared" si="16"/>
        <v>-6.861864407</v>
      </c>
      <c r="H70" s="254">
        <f t="shared" si="17"/>
        <v>19.040632</v>
      </c>
      <c r="I70" s="254">
        <f t="shared" si="18"/>
        <v>0</v>
      </c>
      <c r="J70" s="267">
        <f t="shared" si="19"/>
        <v>0</v>
      </c>
      <c r="K70" s="254">
        <f t="shared" si="20"/>
        <v>2.520924726</v>
      </c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>
      <c r="A81" s="255" t="s">
        <v>490</v>
      </c>
      <c r="B81" s="217">
        <f>'스킬 및 딜사이클'!C76/2</f>
        <v>1.5</v>
      </c>
      <c r="C81" s="255"/>
      <c r="D81" s="255"/>
      <c r="E81" s="255"/>
      <c r="F81" s="255"/>
      <c r="G81" s="255"/>
      <c r="H81" s="255"/>
      <c r="I81" s="255"/>
      <c r="J81" s="255"/>
      <c r="K81" s="255"/>
    </row>
    <row r="82">
      <c r="A82" s="255" t="s">
        <v>491</v>
      </c>
      <c r="B82" s="217">
        <f>'스킬 및 딜사이클'!AJ88</f>
        <v>2.6012</v>
      </c>
      <c r="C82" s="255"/>
      <c r="D82" s="255" t="s">
        <v>492</v>
      </c>
      <c r="E82" s="254">
        <f t="array" ref="E82">XLOOKUP(MIN(H92:H110), H92:H110, A92:A110, , 0, -1)</f>
        <v>0</v>
      </c>
      <c r="F82" s="255"/>
      <c r="G82" s="255"/>
      <c r="H82" s="255"/>
      <c r="I82" s="255"/>
      <c r="J82" s="255"/>
      <c r="K82" s="255"/>
    </row>
    <row r="83">
      <c r="A83" s="255" t="s">
        <v>493</v>
      </c>
      <c r="B83" s="217">
        <f>'스킬 및 딜사이클'!AJ87</f>
        <v>3.314608</v>
      </c>
      <c r="C83" s="255"/>
      <c r="D83" s="255" t="s">
        <v>494</v>
      </c>
      <c r="E83" s="254">
        <f t="array" ref="E83">INDEX(H92:H110, MATCH(MIN(H92:H110), H92:H110, 0))</f>
        <v>3.314608</v>
      </c>
      <c r="F83" s="255"/>
      <c r="G83" s="255"/>
      <c r="H83" s="255"/>
      <c r="I83" s="255"/>
      <c r="J83" s="255"/>
      <c r="K83" s="255"/>
    </row>
    <row r="84">
      <c r="A84" s="255" t="s">
        <v>495</v>
      </c>
      <c r="B84" s="217">
        <f>'스킬 및 딜사이클'!AJ90</f>
        <v>0.716896</v>
      </c>
      <c r="C84" s="255"/>
      <c r="D84" s="238"/>
      <c r="E84" s="255"/>
      <c r="F84" s="255"/>
      <c r="G84" s="255"/>
      <c r="H84" s="255"/>
      <c r="I84" s="255"/>
      <c r="J84" s="255"/>
      <c r="K84" s="238"/>
    </row>
    <row r="85">
      <c r="A85" s="255" t="s">
        <v>496</v>
      </c>
      <c r="B85" s="217">
        <f>'종합'!$C$4/'종합'!$C$3</f>
        <v>0</v>
      </c>
      <c r="C85" s="255"/>
      <c r="D85" s="255"/>
      <c r="E85" s="255"/>
      <c r="F85" s="255"/>
      <c r="G85" s="255"/>
      <c r="H85" s="255"/>
      <c r="I85" s="255"/>
      <c r="J85" s="255"/>
      <c r="K85" s="255"/>
    </row>
    <row r="86">
      <c r="A86" s="255" t="s">
        <v>497</v>
      </c>
      <c r="B86" s="217">
        <f>if(OR('무기룬'!$B$13=TRUE, '무기룬'!$B$28=TRUE),0.09,0)+IF('무기룬'!$B$14=TRUE,0.08,0)</f>
        <v>0.09</v>
      </c>
      <c r="C86" s="255"/>
      <c r="D86" s="255"/>
      <c r="E86" s="255"/>
      <c r="F86" s="255"/>
      <c r="G86" s="255"/>
      <c r="H86" s="255"/>
      <c r="I86" s="255"/>
      <c r="J86" s="255"/>
      <c r="K86" s="255"/>
    </row>
    <row r="87">
      <c r="A87" s="255" t="s">
        <v>498</v>
      </c>
      <c r="B87" s="217">
        <f>if('방어구룬'!$B$32=true,0.03,0)*if('방어구룬'!$B$49=true,2,1)</f>
        <v>0</v>
      </c>
      <c r="C87" s="255"/>
      <c r="D87" s="255"/>
      <c r="E87" s="255"/>
      <c r="F87" s="255"/>
      <c r="G87" s="255"/>
      <c r="H87" s="255"/>
      <c r="I87" s="255"/>
      <c r="J87" s="255"/>
      <c r="K87" s="255"/>
    </row>
    <row r="88">
      <c r="A88" s="266" t="s">
        <v>499</v>
      </c>
      <c r="B88" s="215">
        <f>'스킬 및 딜사이클'!$R$28</f>
        <v>13.6</v>
      </c>
      <c r="C88" s="255"/>
      <c r="D88" s="255"/>
      <c r="E88" s="255"/>
      <c r="F88" s="255"/>
      <c r="G88" s="255"/>
      <c r="H88" s="255"/>
      <c r="I88" s="255"/>
      <c r="J88" s="255"/>
      <c r="K88" s="255"/>
    </row>
    <row r="89">
      <c r="A89" s="255"/>
      <c r="B89" s="215"/>
      <c r="C89" s="255"/>
      <c r="D89" s="255"/>
      <c r="E89" s="255"/>
      <c r="F89" s="255"/>
      <c r="G89" s="255"/>
      <c r="H89" s="255"/>
      <c r="I89" s="255"/>
      <c r="J89" s="255"/>
      <c r="K89" s="255"/>
    </row>
    <row r="90">
      <c r="A90" s="255"/>
      <c r="B90" s="1"/>
      <c r="C90" s="255"/>
      <c r="D90" s="255"/>
      <c r="E90" s="255"/>
      <c r="F90" s="255"/>
      <c r="G90" s="255"/>
      <c r="H90" s="255"/>
      <c r="I90" s="255"/>
      <c r="J90" s="255"/>
      <c r="K90" s="255"/>
    </row>
    <row r="91">
      <c r="A91" s="255" t="s">
        <v>500</v>
      </c>
      <c r="B91" s="255" t="s">
        <v>501</v>
      </c>
      <c r="C91" s="255" t="s">
        <v>502</v>
      </c>
      <c r="D91" s="238" t="s">
        <v>503</v>
      </c>
      <c r="E91" s="254" t="s">
        <v>504</v>
      </c>
      <c r="F91" s="254" t="s">
        <v>505</v>
      </c>
      <c r="G91" s="254" t="s">
        <v>506</v>
      </c>
      <c r="H91" s="254" t="s">
        <v>507</v>
      </c>
      <c r="I91" s="254" t="s">
        <v>508</v>
      </c>
      <c r="J91" s="267" t="s">
        <v>509</v>
      </c>
      <c r="K91" s="254" t="s">
        <v>510</v>
      </c>
    </row>
    <row r="92">
      <c r="A92" s="254">
        <v>0.0</v>
      </c>
      <c r="B92" s="267">
        <f t="shared" ref="B92:B110" si="21">IF(A92&lt;&gt;"", $B$83+(A92*$B$84), "")</f>
        <v>3.314608</v>
      </c>
      <c r="C92" s="254">
        <f t="shared" ref="C92:C110" si="22">IF(A92&lt;&gt;"", B92/(1-$B$85), "")</f>
        <v>3.314608</v>
      </c>
      <c r="D92" s="254">
        <f t="shared" ref="D92:D110" si="23">IF(A92&lt;&gt;"", $B$82-($B$88*A92*$B$86), "")</f>
        <v>2.6012</v>
      </c>
      <c r="E92" s="254">
        <f t="shared" ref="E92:E110" si="24">IF(A92&lt;&gt;"", D92/(1+($B$81/$B$82)*8*$B$87), "")</f>
        <v>2.6012</v>
      </c>
      <c r="F92" s="254">
        <f t="shared" ref="F92:F110" si="25">IF(A92&lt;&gt;"", D92/1.18, "")</f>
        <v>2.20440678</v>
      </c>
      <c r="G92" s="254">
        <f t="shared" ref="G92:G110" si="26">IF(A92&lt;&gt;"", max(E92,F92), "")</f>
        <v>2.6012</v>
      </c>
      <c r="H92" s="254">
        <f t="shared" ref="H92:H110" si="27">IF(A92&lt;&gt;"", MAX(C92, G92), "")</f>
        <v>3.314608</v>
      </c>
      <c r="I92" s="254">
        <f t="shared" ref="I92:I110" si="28">H92-B92</f>
        <v>0</v>
      </c>
      <c r="J92" s="267">
        <f t="shared" ref="J92:J110" si="29">IF(A92&lt;&gt;"", H92*$B$85, "")</f>
        <v>0</v>
      </c>
      <c r="K92" s="254">
        <f t="shared" ref="K92:K110" si="30">IF(A92&lt;&gt;"", MIN(6, (8*$B$81)/H92), "")</f>
        <v>3.620337609</v>
      </c>
    </row>
    <row r="93">
      <c r="A93" s="254">
        <v>1.0</v>
      </c>
      <c r="B93" s="267">
        <f t="shared" si="21"/>
        <v>4.031504</v>
      </c>
      <c r="C93" s="254">
        <f t="shared" si="22"/>
        <v>4.031504</v>
      </c>
      <c r="D93" s="254">
        <f t="shared" si="23"/>
        <v>1.3772</v>
      </c>
      <c r="E93" s="254">
        <f t="shared" si="24"/>
        <v>1.3772</v>
      </c>
      <c r="F93" s="254">
        <f t="shared" si="25"/>
        <v>1.167118644</v>
      </c>
      <c r="G93" s="254">
        <f t="shared" si="26"/>
        <v>1.3772</v>
      </c>
      <c r="H93" s="254">
        <f t="shared" si="27"/>
        <v>4.031504</v>
      </c>
      <c r="I93" s="254">
        <f t="shared" si="28"/>
        <v>0</v>
      </c>
      <c r="J93" s="267">
        <f t="shared" si="29"/>
        <v>0</v>
      </c>
      <c r="K93" s="254">
        <f t="shared" si="30"/>
        <v>2.97655664</v>
      </c>
    </row>
    <row r="94">
      <c r="A94" s="254">
        <v>2.0</v>
      </c>
      <c r="B94" s="267">
        <f t="shared" si="21"/>
        <v>4.7484</v>
      </c>
      <c r="C94" s="254">
        <f t="shared" si="22"/>
        <v>4.7484</v>
      </c>
      <c r="D94" s="254">
        <f t="shared" si="23"/>
        <v>0.1532</v>
      </c>
      <c r="E94" s="254">
        <f t="shared" si="24"/>
        <v>0.1532</v>
      </c>
      <c r="F94" s="254">
        <f t="shared" si="25"/>
        <v>0.1298305085</v>
      </c>
      <c r="G94" s="254">
        <f t="shared" si="26"/>
        <v>0.1532</v>
      </c>
      <c r="H94" s="254">
        <f t="shared" si="27"/>
        <v>4.7484</v>
      </c>
      <c r="I94" s="254">
        <f t="shared" si="28"/>
        <v>0</v>
      </c>
      <c r="J94" s="267">
        <f t="shared" si="29"/>
        <v>0</v>
      </c>
      <c r="K94" s="254">
        <f t="shared" si="30"/>
        <v>2.527167046</v>
      </c>
      <c r="P94" s="276"/>
    </row>
    <row r="95">
      <c r="A95" s="254">
        <v>3.0</v>
      </c>
      <c r="B95" s="267">
        <f t="shared" si="21"/>
        <v>5.465296</v>
      </c>
      <c r="C95" s="254">
        <f t="shared" si="22"/>
        <v>5.465296</v>
      </c>
      <c r="D95" s="254">
        <f t="shared" si="23"/>
        <v>-1.0708</v>
      </c>
      <c r="E95" s="254">
        <f t="shared" si="24"/>
        <v>-1.0708</v>
      </c>
      <c r="F95" s="254">
        <f t="shared" si="25"/>
        <v>-0.9074576271</v>
      </c>
      <c r="G95" s="254">
        <f t="shared" si="26"/>
        <v>-0.9074576271</v>
      </c>
      <c r="H95" s="254">
        <f t="shared" si="27"/>
        <v>5.465296</v>
      </c>
      <c r="I95" s="254">
        <f t="shared" si="28"/>
        <v>0</v>
      </c>
      <c r="J95" s="267">
        <f t="shared" si="29"/>
        <v>0</v>
      </c>
      <c r="K95" s="254">
        <f t="shared" si="30"/>
        <v>2.195672476</v>
      </c>
      <c r="L95" s="274"/>
      <c r="M95" s="274"/>
      <c r="N95" s="274"/>
      <c r="O95" s="275"/>
      <c r="P95" s="275"/>
    </row>
    <row r="96">
      <c r="A96" s="254">
        <v>4.0</v>
      </c>
      <c r="B96" s="267">
        <f t="shared" si="21"/>
        <v>6.182192</v>
      </c>
      <c r="C96" s="254">
        <f t="shared" si="22"/>
        <v>6.182192</v>
      </c>
      <c r="D96" s="254">
        <f t="shared" si="23"/>
        <v>-2.2948</v>
      </c>
      <c r="E96" s="254">
        <f t="shared" si="24"/>
        <v>-2.2948</v>
      </c>
      <c r="F96" s="254">
        <f t="shared" si="25"/>
        <v>-1.944745763</v>
      </c>
      <c r="G96" s="254">
        <f t="shared" si="26"/>
        <v>-1.944745763</v>
      </c>
      <c r="H96" s="254">
        <f t="shared" si="27"/>
        <v>6.182192</v>
      </c>
      <c r="I96" s="254">
        <f t="shared" si="28"/>
        <v>0</v>
      </c>
      <c r="J96" s="267">
        <f t="shared" si="29"/>
        <v>0</v>
      </c>
      <c r="K96" s="254">
        <f t="shared" si="30"/>
        <v>1.941059094</v>
      </c>
      <c r="L96" s="274"/>
      <c r="M96" s="274"/>
      <c r="N96" s="274"/>
      <c r="O96" s="275"/>
      <c r="P96" s="275"/>
    </row>
    <row r="97">
      <c r="A97" s="254">
        <v>5.0</v>
      </c>
      <c r="B97" s="267">
        <f t="shared" si="21"/>
        <v>6.899088</v>
      </c>
      <c r="C97" s="254">
        <f t="shared" si="22"/>
        <v>6.899088</v>
      </c>
      <c r="D97" s="254">
        <f t="shared" si="23"/>
        <v>-3.5188</v>
      </c>
      <c r="E97" s="254">
        <f t="shared" si="24"/>
        <v>-3.5188</v>
      </c>
      <c r="F97" s="254">
        <f t="shared" si="25"/>
        <v>-2.982033898</v>
      </c>
      <c r="G97" s="254">
        <f t="shared" si="26"/>
        <v>-2.982033898</v>
      </c>
      <c r="H97" s="254">
        <f t="shared" si="27"/>
        <v>6.899088</v>
      </c>
      <c r="I97" s="254">
        <f t="shared" si="28"/>
        <v>0</v>
      </c>
      <c r="J97" s="267">
        <f t="shared" si="29"/>
        <v>0</v>
      </c>
      <c r="K97" s="254">
        <f t="shared" si="30"/>
        <v>1.739360333</v>
      </c>
      <c r="L97" s="274"/>
      <c r="M97" s="274"/>
      <c r="N97" s="274"/>
      <c r="O97" s="275"/>
      <c r="P97" s="275"/>
    </row>
    <row r="98">
      <c r="A98" s="254">
        <v>6.0</v>
      </c>
      <c r="B98" s="267">
        <f t="shared" si="21"/>
        <v>7.615984</v>
      </c>
      <c r="C98" s="254">
        <f t="shared" si="22"/>
        <v>7.615984</v>
      </c>
      <c r="D98" s="254">
        <f t="shared" si="23"/>
        <v>-4.7428</v>
      </c>
      <c r="E98" s="254">
        <f t="shared" si="24"/>
        <v>-4.7428</v>
      </c>
      <c r="F98" s="254">
        <f t="shared" si="25"/>
        <v>-4.019322034</v>
      </c>
      <c r="G98" s="254">
        <f t="shared" si="26"/>
        <v>-4.019322034</v>
      </c>
      <c r="H98" s="254">
        <f t="shared" si="27"/>
        <v>7.615984</v>
      </c>
      <c r="I98" s="254">
        <f t="shared" si="28"/>
        <v>0</v>
      </c>
      <c r="J98" s="267">
        <f t="shared" si="29"/>
        <v>0</v>
      </c>
      <c r="K98" s="254">
        <f t="shared" si="30"/>
        <v>1.575633562</v>
      </c>
      <c r="L98" s="277"/>
      <c r="M98" s="277"/>
      <c r="N98" s="277"/>
      <c r="O98" s="277"/>
      <c r="P98" s="277"/>
    </row>
    <row r="99">
      <c r="A99" s="254">
        <v>7.0</v>
      </c>
      <c r="B99" s="267">
        <f t="shared" si="21"/>
        <v>8.33288</v>
      </c>
      <c r="C99" s="254">
        <f t="shared" si="22"/>
        <v>8.33288</v>
      </c>
      <c r="D99" s="254">
        <f t="shared" si="23"/>
        <v>-5.9668</v>
      </c>
      <c r="E99" s="254">
        <f t="shared" si="24"/>
        <v>-5.9668</v>
      </c>
      <c r="F99" s="254">
        <f t="shared" si="25"/>
        <v>-5.056610169</v>
      </c>
      <c r="G99" s="254">
        <f t="shared" si="26"/>
        <v>-5.056610169</v>
      </c>
      <c r="H99" s="254">
        <f t="shared" si="27"/>
        <v>8.33288</v>
      </c>
      <c r="I99" s="254">
        <f t="shared" si="28"/>
        <v>0</v>
      </c>
      <c r="J99" s="267">
        <f t="shared" si="29"/>
        <v>0</v>
      </c>
      <c r="K99" s="254">
        <f t="shared" si="30"/>
        <v>1.44007834</v>
      </c>
      <c r="L99" s="274"/>
      <c r="M99" s="274"/>
      <c r="N99" s="274"/>
      <c r="O99" s="275"/>
      <c r="P99" s="275"/>
    </row>
    <row r="100">
      <c r="A100" s="254">
        <v>8.0</v>
      </c>
      <c r="B100" s="267">
        <f t="shared" si="21"/>
        <v>9.049776</v>
      </c>
      <c r="C100" s="254">
        <f t="shared" si="22"/>
        <v>9.049776</v>
      </c>
      <c r="D100" s="254">
        <f t="shared" si="23"/>
        <v>-7.1908</v>
      </c>
      <c r="E100" s="254">
        <f t="shared" si="24"/>
        <v>-7.1908</v>
      </c>
      <c r="F100" s="254">
        <f t="shared" si="25"/>
        <v>-6.093898305</v>
      </c>
      <c r="G100" s="254">
        <f t="shared" si="26"/>
        <v>-6.093898305</v>
      </c>
      <c r="H100" s="254">
        <f t="shared" si="27"/>
        <v>9.049776</v>
      </c>
      <c r="I100" s="254">
        <f t="shared" si="28"/>
        <v>0</v>
      </c>
      <c r="J100" s="267">
        <f t="shared" si="29"/>
        <v>0</v>
      </c>
      <c r="K100" s="254">
        <f t="shared" si="30"/>
        <v>1.325999671</v>
      </c>
      <c r="L100" s="274"/>
      <c r="M100" s="274"/>
      <c r="N100" s="274"/>
      <c r="O100" s="275"/>
      <c r="P100" s="275"/>
    </row>
    <row r="101">
      <c r="A101" s="254">
        <v>9.0</v>
      </c>
      <c r="B101" s="267">
        <f t="shared" si="21"/>
        <v>9.766672</v>
      </c>
      <c r="C101" s="254">
        <f t="shared" si="22"/>
        <v>9.766672</v>
      </c>
      <c r="D101" s="254">
        <f t="shared" si="23"/>
        <v>-8.4148</v>
      </c>
      <c r="E101" s="254">
        <f t="shared" si="24"/>
        <v>-8.4148</v>
      </c>
      <c r="F101" s="254">
        <f t="shared" si="25"/>
        <v>-7.131186441</v>
      </c>
      <c r="G101" s="254">
        <f t="shared" si="26"/>
        <v>-7.131186441</v>
      </c>
      <c r="H101" s="254">
        <f t="shared" si="27"/>
        <v>9.766672</v>
      </c>
      <c r="I101" s="254">
        <f t="shared" si="28"/>
        <v>0</v>
      </c>
      <c r="J101" s="267">
        <f t="shared" si="29"/>
        <v>0</v>
      </c>
      <c r="K101" s="254">
        <f t="shared" si="30"/>
        <v>1.228668271</v>
      </c>
      <c r="L101" s="274"/>
      <c r="M101" s="274"/>
      <c r="N101" s="274"/>
      <c r="O101" s="275"/>
      <c r="P101" s="275"/>
    </row>
    <row r="102">
      <c r="A102" s="254">
        <v>10.0</v>
      </c>
      <c r="B102" s="267">
        <f t="shared" si="21"/>
        <v>10.483568</v>
      </c>
      <c r="C102" s="254">
        <f t="shared" si="22"/>
        <v>10.483568</v>
      </c>
      <c r="D102" s="254">
        <f t="shared" si="23"/>
        <v>-9.6388</v>
      </c>
      <c r="E102" s="254">
        <f t="shared" si="24"/>
        <v>-9.6388</v>
      </c>
      <c r="F102" s="254">
        <f t="shared" si="25"/>
        <v>-8.168474576</v>
      </c>
      <c r="G102" s="254">
        <f t="shared" si="26"/>
        <v>-8.168474576</v>
      </c>
      <c r="H102" s="254">
        <f t="shared" si="27"/>
        <v>10.483568</v>
      </c>
      <c r="I102" s="254">
        <f t="shared" si="28"/>
        <v>0</v>
      </c>
      <c r="J102" s="267">
        <f t="shared" si="29"/>
        <v>0</v>
      </c>
      <c r="K102" s="254">
        <f t="shared" si="30"/>
        <v>1.144648463</v>
      </c>
      <c r="L102" s="274"/>
      <c r="M102" s="274"/>
      <c r="N102" s="274"/>
      <c r="O102" s="275"/>
      <c r="P102" s="275"/>
    </row>
    <row r="103">
      <c r="A103" s="254">
        <v>11.0</v>
      </c>
      <c r="B103" s="267">
        <f t="shared" si="21"/>
        <v>11.200464</v>
      </c>
      <c r="C103" s="254">
        <f t="shared" si="22"/>
        <v>11.200464</v>
      </c>
      <c r="D103" s="254">
        <f t="shared" si="23"/>
        <v>-10.8628</v>
      </c>
      <c r="E103" s="254">
        <f t="shared" si="24"/>
        <v>-10.8628</v>
      </c>
      <c r="F103" s="254">
        <f t="shared" si="25"/>
        <v>-9.205762712</v>
      </c>
      <c r="G103" s="254">
        <f t="shared" si="26"/>
        <v>-9.205762712</v>
      </c>
      <c r="H103" s="254">
        <f t="shared" si="27"/>
        <v>11.200464</v>
      </c>
      <c r="I103" s="254">
        <f t="shared" si="28"/>
        <v>0</v>
      </c>
      <c r="J103" s="267">
        <f t="shared" si="29"/>
        <v>0</v>
      </c>
      <c r="K103" s="254">
        <f t="shared" si="30"/>
        <v>1.071384186</v>
      </c>
      <c r="L103" s="274"/>
      <c r="M103" s="274"/>
      <c r="N103" s="274"/>
      <c r="O103" s="275"/>
      <c r="P103" s="275"/>
    </row>
    <row r="104">
      <c r="A104" s="254">
        <v>12.0</v>
      </c>
      <c r="B104" s="267">
        <f t="shared" si="21"/>
        <v>11.91736</v>
      </c>
      <c r="C104" s="254">
        <f t="shared" si="22"/>
        <v>11.91736</v>
      </c>
      <c r="D104" s="254">
        <f t="shared" si="23"/>
        <v>-12.0868</v>
      </c>
      <c r="E104" s="254">
        <f t="shared" si="24"/>
        <v>-12.0868</v>
      </c>
      <c r="F104" s="254">
        <f t="shared" si="25"/>
        <v>-10.24305085</v>
      </c>
      <c r="G104" s="254">
        <f t="shared" si="26"/>
        <v>-10.24305085</v>
      </c>
      <c r="H104" s="254">
        <f t="shared" si="27"/>
        <v>11.91736</v>
      </c>
      <c r="I104" s="254">
        <f t="shared" si="28"/>
        <v>0</v>
      </c>
      <c r="J104" s="267">
        <f t="shared" si="29"/>
        <v>0</v>
      </c>
      <c r="K104" s="254">
        <f t="shared" si="30"/>
        <v>1.006934422</v>
      </c>
      <c r="L104" s="274"/>
      <c r="M104" s="274"/>
      <c r="N104" s="274"/>
      <c r="O104" s="275"/>
      <c r="P104" s="275"/>
    </row>
    <row r="105">
      <c r="A105" s="254">
        <v>13.0</v>
      </c>
      <c r="B105" s="267">
        <f t="shared" si="21"/>
        <v>12.634256</v>
      </c>
      <c r="C105" s="254">
        <f t="shared" si="22"/>
        <v>12.634256</v>
      </c>
      <c r="D105" s="254">
        <f t="shared" si="23"/>
        <v>-13.3108</v>
      </c>
      <c r="E105" s="254">
        <f t="shared" si="24"/>
        <v>-13.3108</v>
      </c>
      <c r="F105" s="254">
        <f t="shared" si="25"/>
        <v>-11.28033898</v>
      </c>
      <c r="G105" s="254">
        <f t="shared" si="26"/>
        <v>-11.28033898</v>
      </c>
      <c r="H105" s="254">
        <f t="shared" si="27"/>
        <v>12.634256</v>
      </c>
      <c r="I105" s="254">
        <f t="shared" si="28"/>
        <v>0</v>
      </c>
      <c r="J105" s="267">
        <f t="shared" si="29"/>
        <v>0</v>
      </c>
      <c r="K105" s="254">
        <f t="shared" si="30"/>
        <v>0.949798706</v>
      </c>
      <c r="L105" s="274"/>
      <c r="M105" s="274"/>
      <c r="N105" s="274"/>
      <c r="O105" s="275"/>
      <c r="P105" s="275"/>
    </row>
    <row r="106">
      <c r="A106" s="254">
        <v>14.0</v>
      </c>
      <c r="B106" s="267">
        <f t="shared" si="21"/>
        <v>13.351152</v>
      </c>
      <c r="C106" s="254">
        <f t="shared" si="22"/>
        <v>13.351152</v>
      </c>
      <c r="D106" s="254">
        <f t="shared" si="23"/>
        <v>-14.5348</v>
      </c>
      <c r="E106" s="254">
        <f t="shared" si="24"/>
        <v>-14.5348</v>
      </c>
      <c r="F106" s="254">
        <f t="shared" si="25"/>
        <v>-12.31762712</v>
      </c>
      <c r="G106" s="254">
        <f t="shared" si="26"/>
        <v>-12.31762712</v>
      </c>
      <c r="H106" s="254">
        <f t="shared" si="27"/>
        <v>13.351152</v>
      </c>
      <c r="I106" s="254">
        <f t="shared" si="28"/>
        <v>0</v>
      </c>
      <c r="J106" s="267">
        <f t="shared" si="29"/>
        <v>0</v>
      </c>
      <c r="K106" s="254">
        <f t="shared" si="30"/>
        <v>0.8987988452</v>
      </c>
      <c r="L106" s="274"/>
      <c r="M106" s="274"/>
      <c r="N106" s="274"/>
      <c r="O106" s="275"/>
      <c r="P106" s="275"/>
    </row>
    <row r="107">
      <c r="A107" s="254">
        <v>15.0</v>
      </c>
      <c r="B107" s="267">
        <f t="shared" si="21"/>
        <v>14.068048</v>
      </c>
      <c r="C107" s="254">
        <f t="shared" si="22"/>
        <v>14.068048</v>
      </c>
      <c r="D107" s="254">
        <f t="shared" si="23"/>
        <v>-15.7588</v>
      </c>
      <c r="E107" s="254">
        <f t="shared" si="24"/>
        <v>-15.7588</v>
      </c>
      <c r="F107" s="254">
        <f t="shared" si="25"/>
        <v>-13.35491525</v>
      </c>
      <c r="G107" s="254">
        <f t="shared" si="26"/>
        <v>-13.35491525</v>
      </c>
      <c r="H107" s="254">
        <f t="shared" si="27"/>
        <v>14.068048</v>
      </c>
      <c r="I107" s="254">
        <f t="shared" si="28"/>
        <v>0</v>
      </c>
      <c r="J107" s="267">
        <f t="shared" si="29"/>
        <v>0</v>
      </c>
      <c r="K107" s="254">
        <f t="shared" si="30"/>
        <v>0.8529968052</v>
      </c>
      <c r="L107" s="274"/>
      <c r="M107" s="274"/>
      <c r="N107" s="274"/>
      <c r="O107" s="275"/>
      <c r="P107" s="275"/>
    </row>
    <row r="108">
      <c r="A108" s="254">
        <v>16.0</v>
      </c>
      <c r="B108" s="267">
        <f t="shared" si="21"/>
        <v>14.784944</v>
      </c>
      <c r="C108" s="254">
        <f t="shared" si="22"/>
        <v>14.784944</v>
      </c>
      <c r="D108" s="254">
        <f t="shared" si="23"/>
        <v>-16.9828</v>
      </c>
      <c r="E108" s="254">
        <f t="shared" si="24"/>
        <v>-16.9828</v>
      </c>
      <c r="F108" s="254">
        <f t="shared" si="25"/>
        <v>-14.39220339</v>
      </c>
      <c r="G108" s="254">
        <f t="shared" si="26"/>
        <v>-14.39220339</v>
      </c>
      <c r="H108" s="254">
        <f t="shared" si="27"/>
        <v>14.784944</v>
      </c>
      <c r="I108" s="254">
        <f t="shared" si="28"/>
        <v>0</v>
      </c>
      <c r="J108" s="267">
        <f t="shared" si="29"/>
        <v>0</v>
      </c>
      <c r="K108" s="254">
        <f t="shared" si="30"/>
        <v>0.8116364864</v>
      </c>
      <c r="L108" s="274"/>
      <c r="M108" s="274"/>
      <c r="N108" s="274"/>
      <c r="O108" s="275"/>
      <c r="P108" s="275"/>
    </row>
    <row r="109">
      <c r="A109" s="254">
        <v>17.0</v>
      </c>
      <c r="B109" s="267">
        <f t="shared" si="21"/>
        <v>15.50184</v>
      </c>
      <c r="C109" s="254">
        <f t="shared" si="22"/>
        <v>15.50184</v>
      </c>
      <c r="D109" s="254">
        <f t="shared" si="23"/>
        <v>-18.2068</v>
      </c>
      <c r="E109" s="254">
        <f t="shared" si="24"/>
        <v>-18.2068</v>
      </c>
      <c r="F109" s="254">
        <f t="shared" si="25"/>
        <v>-15.42949153</v>
      </c>
      <c r="G109" s="254">
        <f t="shared" si="26"/>
        <v>-15.42949153</v>
      </c>
      <c r="H109" s="254">
        <f t="shared" si="27"/>
        <v>15.50184</v>
      </c>
      <c r="I109" s="254">
        <f t="shared" si="28"/>
        <v>0</v>
      </c>
      <c r="J109" s="267">
        <f t="shared" si="29"/>
        <v>0</v>
      </c>
      <c r="K109" s="254">
        <f t="shared" si="30"/>
        <v>0.774101655</v>
      </c>
      <c r="L109" s="274"/>
      <c r="M109" s="274"/>
      <c r="N109" s="274"/>
      <c r="O109" s="275"/>
      <c r="P109" s="275"/>
    </row>
    <row r="110">
      <c r="A110" s="254">
        <v>18.0</v>
      </c>
      <c r="B110" s="267">
        <f t="shared" si="21"/>
        <v>16.218736</v>
      </c>
      <c r="C110" s="254">
        <f t="shared" si="22"/>
        <v>16.218736</v>
      </c>
      <c r="D110" s="254">
        <f t="shared" si="23"/>
        <v>-19.4308</v>
      </c>
      <c r="E110" s="254">
        <f t="shared" si="24"/>
        <v>-19.4308</v>
      </c>
      <c r="F110" s="254">
        <f t="shared" si="25"/>
        <v>-16.46677966</v>
      </c>
      <c r="G110" s="254">
        <f t="shared" si="26"/>
        <v>-16.46677966</v>
      </c>
      <c r="H110" s="254">
        <f t="shared" si="27"/>
        <v>16.218736</v>
      </c>
      <c r="I110" s="254">
        <f t="shared" si="28"/>
        <v>0</v>
      </c>
      <c r="J110" s="267">
        <f t="shared" si="29"/>
        <v>0</v>
      </c>
      <c r="K110" s="254">
        <f t="shared" si="30"/>
        <v>0.7398850317</v>
      </c>
      <c r="L110" s="274"/>
      <c r="M110" s="274"/>
      <c r="N110" s="274"/>
      <c r="O110" s="275"/>
      <c r="P110" s="275"/>
    </row>
    <row r="111">
      <c r="A111" s="255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74"/>
      <c r="M111" s="274"/>
      <c r="N111" s="274"/>
      <c r="O111" s="275"/>
      <c r="P111" s="275"/>
    </row>
    <row r="112">
      <c r="A112" s="255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74"/>
      <c r="M112" s="274"/>
      <c r="N112" s="274"/>
      <c r="O112" s="275"/>
      <c r="P112" s="275"/>
    </row>
    <row r="113">
      <c r="A113" s="255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78">
        <v>5.2</v>
      </c>
      <c r="M113" s="278">
        <v>5.3</v>
      </c>
      <c r="N113" s="274"/>
      <c r="O113" s="275"/>
      <c r="P113" s="275"/>
    </row>
    <row r="114">
      <c r="A114" s="255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78" t="str">
        <f t="shared" ref="L114:M114" si="31">K115</f>
        <v/>
      </c>
      <c r="M114" s="278">
        <f t="shared" si="31"/>
        <v>8.94</v>
      </c>
      <c r="N114" s="274"/>
      <c r="O114" s="275"/>
      <c r="P114" s="275"/>
    </row>
    <row r="115">
      <c r="A115" s="255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78">
        <v>8.94</v>
      </c>
      <c r="M115" s="278">
        <v>10.06</v>
      </c>
      <c r="N115" s="274"/>
      <c r="O115" s="275"/>
      <c r="P115" s="275"/>
    </row>
    <row r="116">
      <c r="A116" s="255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78">
        <f t="shared" ref="L116:M116" si="32">L115-L114</f>
        <v>8.94</v>
      </c>
      <c r="M116" s="278">
        <f t="shared" si="32"/>
        <v>1.12</v>
      </c>
      <c r="N116" s="278">
        <f>K116+L116+M116</f>
        <v>10.06</v>
      </c>
      <c r="O116" s="275"/>
      <c r="P116" s="275"/>
    </row>
    <row r="117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74"/>
      <c r="M117" s="274"/>
      <c r="N117" s="278">
        <v>1.0</v>
      </c>
      <c r="O117" s="275"/>
      <c r="P117" s="275"/>
    </row>
    <row r="118">
      <c r="A118" s="255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74"/>
      <c r="M118" s="274"/>
      <c r="N118" s="278">
        <v>1.64</v>
      </c>
      <c r="O118" s="275"/>
      <c r="P118" s="275"/>
    </row>
    <row r="119">
      <c r="A119" s="255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74"/>
      <c r="M119" s="274"/>
      <c r="N119" s="278">
        <f>N116+N117+N118</f>
        <v>12.7</v>
      </c>
      <c r="O119" s="275"/>
      <c r="P119" s="275"/>
    </row>
    <row r="120">
      <c r="A120" s="255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74"/>
      <c r="M120" s="274"/>
      <c r="N120" s="274"/>
      <c r="O120" s="275"/>
      <c r="P120" s="275"/>
    </row>
    <row r="121">
      <c r="A121" s="255" t="s">
        <v>490</v>
      </c>
      <c r="B121" s="217">
        <f>'스킬 및 딜사이클'!C98/2</f>
        <v>1.5</v>
      </c>
      <c r="C121" s="255"/>
      <c r="D121" s="255"/>
      <c r="E121" s="255"/>
      <c r="F121" s="255"/>
      <c r="G121" s="255"/>
      <c r="H121" s="255"/>
      <c r="I121" s="255"/>
      <c r="J121" s="255"/>
      <c r="K121" s="255"/>
      <c r="L121" s="274"/>
      <c r="M121" s="274"/>
      <c r="N121" s="274"/>
      <c r="O121" s="275"/>
      <c r="P121" s="275"/>
    </row>
    <row r="122">
      <c r="A122" s="255" t="s">
        <v>491</v>
      </c>
      <c r="B122" s="217">
        <f>'스킬 및 딜사이클'!AJ110</f>
        <v>2.6012</v>
      </c>
      <c r="C122" s="255"/>
      <c r="D122" s="255" t="s">
        <v>492</v>
      </c>
      <c r="E122" s="254">
        <f t="array" ref="E122">XLOOKUP(MIN(H132:H150), H132:H150, A132:A150, , 0, -1)</f>
        <v>0</v>
      </c>
      <c r="F122" s="255"/>
      <c r="G122" s="255"/>
      <c r="H122" s="255"/>
      <c r="I122" s="255"/>
      <c r="J122" s="255"/>
      <c r="K122" s="255"/>
      <c r="L122" s="274"/>
      <c r="M122" s="274"/>
      <c r="N122" s="274"/>
      <c r="O122" s="275"/>
      <c r="P122" s="275"/>
    </row>
    <row r="123">
      <c r="A123" s="255" t="s">
        <v>493</v>
      </c>
      <c r="B123" s="217">
        <f>'스킬 및 딜사이클'!AJ109</f>
        <v>3.314608</v>
      </c>
      <c r="C123" s="255"/>
      <c r="D123" s="255" t="s">
        <v>494</v>
      </c>
      <c r="E123" s="254">
        <f t="array" ref="E123">INDEX(H132:H150, MATCH(MIN(H132:H150), H132:H150, 0))</f>
        <v>3.314608</v>
      </c>
      <c r="F123" s="255"/>
      <c r="G123" s="255"/>
      <c r="H123" s="255"/>
      <c r="I123" s="255"/>
      <c r="J123" s="255"/>
      <c r="K123" s="255"/>
      <c r="L123" s="274"/>
      <c r="M123" s="274"/>
      <c r="N123" s="274"/>
      <c r="O123" s="275"/>
      <c r="P123" s="275"/>
    </row>
    <row r="124">
      <c r="A124" s="255" t="s">
        <v>495</v>
      </c>
      <c r="B124" s="217">
        <f>'스킬 및 딜사이클'!AJ112</f>
        <v>0.716896</v>
      </c>
      <c r="C124" s="255"/>
      <c r="D124" s="238"/>
      <c r="E124" s="255"/>
      <c r="F124" s="255"/>
      <c r="G124" s="255"/>
      <c r="H124" s="255"/>
      <c r="I124" s="255"/>
      <c r="J124" s="255"/>
      <c r="K124" s="238"/>
      <c r="L124" s="274"/>
      <c r="M124" s="274"/>
      <c r="N124" s="274"/>
      <c r="O124" s="275"/>
      <c r="P124" s="275"/>
    </row>
    <row r="125">
      <c r="A125" s="255" t="s">
        <v>496</v>
      </c>
      <c r="B125" s="218">
        <v>0.0</v>
      </c>
      <c r="C125" s="266" t="s">
        <v>511</v>
      </c>
      <c r="D125" s="255"/>
      <c r="E125" s="255"/>
      <c r="F125" s="255"/>
      <c r="G125" s="255"/>
      <c r="H125" s="255"/>
      <c r="I125" s="255"/>
      <c r="J125" s="255"/>
      <c r="K125" s="255"/>
      <c r="L125" s="274"/>
      <c r="M125" s="274"/>
      <c r="N125" s="274"/>
      <c r="O125" s="275"/>
      <c r="P125" s="275"/>
    </row>
    <row r="126">
      <c r="A126" s="255" t="s">
        <v>497</v>
      </c>
      <c r="B126" s="217">
        <f>if(OR('무기룬'!$B$13=TRUE, '무기룬'!$B$28=TRUE),0.09,0)+IF('무기룬'!$B$14=TRUE,0.08,0)</f>
        <v>0.09</v>
      </c>
      <c r="C126" s="255"/>
      <c r="D126" s="255"/>
      <c r="E126" s="255"/>
      <c r="F126" s="255"/>
      <c r="G126" s="255"/>
      <c r="H126" s="255"/>
      <c r="I126" s="255"/>
      <c r="J126" s="255"/>
      <c r="K126" s="255"/>
      <c r="L126" s="274"/>
      <c r="M126" s="274"/>
      <c r="N126" s="274"/>
      <c r="O126" s="275"/>
      <c r="P126" s="275"/>
    </row>
    <row r="127">
      <c r="A127" s="255" t="s">
        <v>498</v>
      </c>
      <c r="B127" s="217">
        <f>if('방어구룬'!$B$32=true,0.03,0)*if('방어구룬'!$B$49=true,2,1)</f>
        <v>0</v>
      </c>
      <c r="C127" s="255"/>
      <c r="D127" s="255"/>
      <c r="E127" s="255"/>
      <c r="F127" s="255"/>
      <c r="G127" s="255"/>
      <c r="H127" s="255"/>
      <c r="I127" s="255"/>
      <c r="J127" s="255"/>
      <c r="K127" s="255"/>
      <c r="L127" s="274"/>
      <c r="M127" s="274"/>
      <c r="N127" s="274"/>
      <c r="O127" s="275"/>
      <c r="P127" s="275"/>
    </row>
    <row r="128">
      <c r="A128" s="266" t="s">
        <v>499</v>
      </c>
      <c r="B128" s="215">
        <f>'스킬 및 딜사이클'!$R$28</f>
        <v>13.6</v>
      </c>
      <c r="C128" s="255"/>
      <c r="D128" s="255"/>
      <c r="E128" s="255"/>
      <c r="F128" s="255"/>
      <c r="G128" s="255"/>
      <c r="H128" s="255"/>
      <c r="I128" s="255"/>
      <c r="J128" s="255"/>
      <c r="K128" s="255"/>
      <c r="L128" s="277"/>
      <c r="M128" s="277"/>
      <c r="N128" s="277"/>
      <c r="O128" s="275"/>
      <c r="P128" s="275"/>
    </row>
    <row r="129">
      <c r="A129" s="255"/>
      <c r="B129" s="215"/>
      <c r="C129" s="255"/>
      <c r="D129" s="255"/>
      <c r="E129" s="255"/>
      <c r="F129" s="255"/>
      <c r="G129" s="255"/>
      <c r="H129" s="255"/>
      <c r="I129" s="255"/>
      <c r="J129" s="255"/>
      <c r="K129" s="255"/>
      <c r="L129" s="274"/>
      <c r="M129" s="278">
        <f>SUM(C129:G129,I129:K129,B130)</f>
        <v>0</v>
      </c>
      <c r="N129" s="274"/>
      <c r="O129" s="275"/>
      <c r="P129" s="275"/>
    </row>
    <row r="130">
      <c r="A130" s="255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74"/>
      <c r="M130" s="274"/>
      <c r="N130" s="274"/>
      <c r="O130" s="275"/>
      <c r="P130" s="275"/>
    </row>
    <row r="131">
      <c r="A131" s="255" t="s">
        <v>500</v>
      </c>
      <c r="B131" s="255" t="s">
        <v>501</v>
      </c>
      <c r="C131" s="255" t="s">
        <v>502</v>
      </c>
      <c r="D131" s="238" t="s">
        <v>503</v>
      </c>
      <c r="E131" s="254" t="s">
        <v>504</v>
      </c>
      <c r="F131" s="254" t="s">
        <v>505</v>
      </c>
      <c r="G131" s="254" t="s">
        <v>506</v>
      </c>
      <c r="H131" s="254" t="s">
        <v>507</v>
      </c>
      <c r="I131" s="254" t="s">
        <v>508</v>
      </c>
      <c r="J131" s="267" t="s">
        <v>509</v>
      </c>
      <c r="K131" s="254" t="s">
        <v>510</v>
      </c>
      <c r="L131" s="274"/>
      <c r="M131" s="274"/>
      <c r="N131" s="274"/>
      <c r="O131" s="275"/>
      <c r="P131" s="275"/>
    </row>
    <row r="132">
      <c r="A132" s="254">
        <v>0.0</v>
      </c>
      <c r="B132" s="267">
        <f t="shared" ref="B132:B150" si="33">IF(A132&lt;&gt;"", $B$123+(A132*$B$124), "")</f>
        <v>3.314608</v>
      </c>
      <c r="C132" s="254">
        <f t="shared" ref="C132:C150" si="34">IF(A132&lt;&gt;"", B132/(1-$B$125), "")</f>
        <v>3.314608</v>
      </c>
      <c r="D132" s="254">
        <f t="shared" ref="D132:D150" si="35">IF(A132&lt;&gt;"", $B$122-($B$128*A132*$B$126), "")</f>
        <v>2.6012</v>
      </c>
      <c r="E132" s="254">
        <f t="shared" ref="E132:E150" si="36">IF(A132&lt;&gt;"", D132/(1+($B$121/$B$122)*8*$B$127), "")</f>
        <v>2.6012</v>
      </c>
      <c r="F132" s="254">
        <f t="shared" ref="F132:F150" si="37">IF(A132&lt;&gt;"", D132/1.18, "")</f>
        <v>2.20440678</v>
      </c>
      <c r="G132" s="254">
        <f t="shared" ref="G132:G150" si="38">IF(A132&lt;&gt;"", max(E132,F132), "")</f>
        <v>2.6012</v>
      </c>
      <c r="H132" s="254">
        <f t="shared" ref="H132:H150" si="39">IF(A132&lt;&gt;"", MAX(C132, G132), "")</f>
        <v>3.314608</v>
      </c>
      <c r="I132" s="254">
        <f t="shared" ref="I132:I150" si="40">H132-B132</f>
        <v>0</v>
      </c>
      <c r="J132" s="267">
        <f t="shared" ref="J132:J150" si="41">IF(A132&lt;&gt;"", H132*$B$125, "")</f>
        <v>0</v>
      </c>
      <c r="K132" s="254">
        <f t="shared" ref="K132:K150" si="42">IF(A132&lt;&gt;"", MIN(6, (8*$B$121)/H132), "")</f>
        <v>3.620337609</v>
      </c>
      <c r="L132" s="274"/>
      <c r="M132" s="274"/>
      <c r="N132" s="274"/>
      <c r="O132" s="275"/>
      <c r="P132" s="275"/>
    </row>
    <row r="133">
      <c r="A133" s="254">
        <v>1.0</v>
      </c>
      <c r="B133" s="267">
        <f t="shared" si="33"/>
        <v>4.031504</v>
      </c>
      <c r="C133" s="254">
        <f t="shared" si="34"/>
        <v>4.031504</v>
      </c>
      <c r="D133" s="254">
        <f t="shared" si="35"/>
        <v>1.3772</v>
      </c>
      <c r="E133" s="254">
        <f t="shared" si="36"/>
        <v>1.3772</v>
      </c>
      <c r="F133" s="254">
        <f t="shared" si="37"/>
        <v>1.167118644</v>
      </c>
      <c r="G133" s="254">
        <f t="shared" si="38"/>
        <v>1.3772</v>
      </c>
      <c r="H133" s="254">
        <f t="shared" si="39"/>
        <v>4.031504</v>
      </c>
      <c r="I133" s="254">
        <f t="shared" si="40"/>
        <v>0</v>
      </c>
      <c r="J133" s="267">
        <f t="shared" si="41"/>
        <v>0</v>
      </c>
      <c r="K133" s="254">
        <f t="shared" si="42"/>
        <v>2.97655664</v>
      </c>
      <c r="L133" s="274"/>
      <c r="M133" s="274"/>
      <c r="N133" s="274"/>
      <c r="O133" s="275"/>
      <c r="P133" s="275"/>
    </row>
    <row r="134">
      <c r="A134" s="254">
        <v>2.0</v>
      </c>
      <c r="B134" s="267">
        <f t="shared" si="33"/>
        <v>4.7484</v>
      </c>
      <c r="C134" s="254">
        <f t="shared" si="34"/>
        <v>4.7484</v>
      </c>
      <c r="D134" s="254">
        <f t="shared" si="35"/>
        <v>0.1532</v>
      </c>
      <c r="E134" s="254">
        <f t="shared" si="36"/>
        <v>0.1532</v>
      </c>
      <c r="F134" s="254">
        <f t="shared" si="37"/>
        <v>0.1298305085</v>
      </c>
      <c r="G134" s="254">
        <f t="shared" si="38"/>
        <v>0.1532</v>
      </c>
      <c r="H134" s="254">
        <f t="shared" si="39"/>
        <v>4.7484</v>
      </c>
      <c r="I134" s="254">
        <f t="shared" si="40"/>
        <v>0</v>
      </c>
      <c r="J134" s="267">
        <f t="shared" si="41"/>
        <v>0</v>
      </c>
      <c r="K134" s="254">
        <f t="shared" si="42"/>
        <v>2.527167046</v>
      </c>
      <c r="L134" s="274"/>
      <c r="M134" s="278">
        <f>SUM(C134:G134,I134:K134,B135)</f>
        <v>13.33029355</v>
      </c>
      <c r="N134" s="274"/>
      <c r="O134" s="275"/>
      <c r="P134" s="275"/>
    </row>
    <row r="135">
      <c r="A135" s="254">
        <v>3.0</v>
      </c>
      <c r="B135" s="267">
        <f t="shared" si="33"/>
        <v>5.465296</v>
      </c>
      <c r="C135" s="254">
        <f t="shared" si="34"/>
        <v>5.465296</v>
      </c>
      <c r="D135" s="254">
        <f t="shared" si="35"/>
        <v>-1.0708</v>
      </c>
      <c r="E135" s="254">
        <f t="shared" si="36"/>
        <v>-1.0708</v>
      </c>
      <c r="F135" s="254">
        <f t="shared" si="37"/>
        <v>-0.9074576271</v>
      </c>
      <c r="G135" s="254">
        <f t="shared" si="38"/>
        <v>-0.9074576271</v>
      </c>
      <c r="H135" s="254">
        <f t="shared" si="39"/>
        <v>5.465296</v>
      </c>
      <c r="I135" s="254">
        <f t="shared" si="40"/>
        <v>0</v>
      </c>
      <c r="J135" s="267">
        <f t="shared" si="41"/>
        <v>0</v>
      </c>
      <c r="K135" s="254">
        <f t="shared" si="42"/>
        <v>2.195672476</v>
      </c>
      <c r="L135" s="274"/>
      <c r="M135" s="274"/>
      <c r="N135" s="274"/>
      <c r="O135" s="275"/>
      <c r="P135" s="275"/>
    </row>
    <row r="136">
      <c r="A136" s="254">
        <v>4.0</v>
      </c>
      <c r="B136" s="267">
        <f t="shared" si="33"/>
        <v>6.182192</v>
      </c>
      <c r="C136" s="254">
        <f t="shared" si="34"/>
        <v>6.182192</v>
      </c>
      <c r="D136" s="254">
        <f t="shared" si="35"/>
        <v>-2.2948</v>
      </c>
      <c r="E136" s="254">
        <f t="shared" si="36"/>
        <v>-2.2948</v>
      </c>
      <c r="F136" s="254">
        <f t="shared" si="37"/>
        <v>-1.944745763</v>
      </c>
      <c r="G136" s="254">
        <f t="shared" si="38"/>
        <v>-1.944745763</v>
      </c>
      <c r="H136" s="254">
        <f t="shared" si="39"/>
        <v>6.182192</v>
      </c>
      <c r="I136" s="254">
        <f t="shared" si="40"/>
        <v>0</v>
      </c>
      <c r="J136" s="267">
        <f t="shared" si="41"/>
        <v>0</v>
      </c>
      <c r="K136" s="254">
        <f t="shared" si="42"/>
        <v>1.941059094</v>
      </c>
      <c r="L136" s="274"/>
      <c r="M136" s="274"/>
      <c r="N136" s="274"/>
      <c r="O136" s="275"/>
      <c r="P136" s="275"/>
    </row>
    <row r="137">
      <c r="A137" s="254">
        <v>5.0</v>
      </c>
      <c r="B137" s="267">
        <f t="shared" si="33"/>
        <v>6.899088</v>
      </c>
      <c r="C137" s="254">
        <f t="shared" si="34"/>
        <v>6.899088</v>
      </c>
      <c r="D137" s="254">
        <f t="shared" si="35"/>
        <v>-3.5188</v>
      </c>
      <c r="E137" s="254">
        <f t="shared" si="36"/>
        <v>-3.5188</v>
      </c>
      <c r="F137" s="254">
        <f t="shared" si="37"/>
        <v>-2.982033898</v>
      </c>
      <c r="G137" s="254">
        <f t="shared" si="38"/>
        <v>-2.982033898</v>
      </c>
      <c r="H137" s="254">
        <f t="shared" si="39"/>
        <v>6.899088</v>
      </c>
      <c r="I137" s="254">
        <f t="shared" si="40"/>
        <v>0</v>
      </c>
      <c r="J137" s="267">
        <f t="shared" si="41"/>
        <v>0</v>
      </c>
      <c r="K137" s="254">
        <f t="shared" si="42"/>
        <v>1.739360333</v>
      </c>
      <c r="L137" s="274"/>
      <c r="M137" s="274"/>
      <c r="N137" s="274"/>
      <c r="O137" s="275"/>
      <c r="P137" s="275"/>
    </row>
    <row r="138">
      <c r="A138" s="254">
        <v>6.0</v>
      </c>
      <c r="B138" s="267">
        <f t="shared" si="33"/>
        <v>7.615984</v>
      </c>
      <c r="C138" s="254">
        <f t="shared" si="34"/>
        <v>7.615984</v>
      </c>
      <c r="D138" s="254">
        <f t="shared" si="35"/>
        <v>-4.7428</v>
      </c>
      <c r="E138" s="254">
        <f t="shared" si="36"/>
        <v>-4.7428</v>
      </c>
      <c r="F138" s="254">
        <f t="shared" si="37"/>
        <v>-4.019322034</v>
      </c>
      <c r="G138" s="254">
        <f t="shared" si="38"/>
        <v>-4.019322034</v>
      </c>
      <c r="H138" s="254">
        <f t="shared" si="39"/>
        <v>7.615984</v>
      </c>
      <c r="I138" s="254">
        <f t="shared" si="40"/>
        <v>0</v>
      </c>
      <c r="J138" s="267">
        <f t="shared" si="41"/>
        <v>0</v>
      </c>
      <c r="K138" s="254">
        <f t="shared" si="42"/>
        <v>1.575633562</v>
      </c>
    </row>
    <row r="139">
      <c r="A139" s="254">
        <v>7.0</v>
      </c>
      <c r="B139" s="267">
        <f t="shared" si="33"/>
        <v>8.33288</v>
      </c>
      <c r="C139" s="254">
        <f t="shared" si="34"/>
        <v>8.33288</v>
      </c>
      <c r="D139" s="254">
        <f t="shared" si="35"/>
        <v>-5.9668</v>
      </c>
      <c r="E139" s="254">
        <f t="shared" si="36"/>
        <v>-5.9668</v>
      </c>
      <c r="F139" s="254">
        <f t="shared" si="37"/>
        <v>-5.056610169</v>
      </c>
      <c r="G139" s="254">
        <f t="shared" si="38"/>
        <v>-5.056610169</v>
      </c>
      <c r="H139" s="254">
        <f t="shared" si="39"/>
        <v>8.33288</v>
      </c>
      <c r="I139" s="254">
        <f t="shared" si="40"/>
        <v>0</v>
      </c>
      <c r="J139" s="267">
        <f t="shared" si="41"/>
        <v>0</v>
      </c>
      <c r="K139" s="254">
        <f t="shared" si="42"/>
        <v>1.44007834</v>
      </c>
    </row>
    <row r="140">
      <c r="A140" s="254">
        <v>8.0</v>
      </c>
      <c r="B140" s="267">
        <f t="shared" si="33"/>
        <v>9.049776</v>
      </c>
      <c r="C140" s="254">
        <f t="shared" si="34"/>
        <v>9.049776</v>
      </c>
      <c r="D140" s="254">
        <f t="shared" si="35"/>
        <v>-7.1908</v>
      </c>
      <c r="E140" s="254">
        <f t="shared" si="36"/>
        <v>-7.1908</v>
      </c>
      <c r="F140" s="254">
        <f t="shared" si="37"/>
        <v>-6.093898305</v>
      </c>
      <c r="G140" s="254">
        <f t="shared" si="38"/>
        <v>-6.093898305</v>
      </c>
      <c r="H140" s="254">
        <f t="shared" si="39"/>
        <v>9.049776</v>
      </c>
      <c r="I140" s="254">
        <f t="shared" si="40"/>
        <v>0</v>
      </c>
      <c r="J140" s="267">
        <f t="shared" si="41"/>
        <v>0</v>
      </c>
      <c r="K140" s="254">
        <f t="shared" si="42"/>
        <v>1.325999671</v>
      </c>
    </row>
    <row r="141">
      <c r="A141" s="254">
        <v>9.0</v>
      </c>
      <c r="B141" s="267">
        <f t="shared" si="33"/>
        <v>9.766672</v>
      </c>
      <c r="C141" s="254">
        <f t="shared" si="34"/>
        <v>9.766672</v>
      </c>
      <c r="D141" s="254">
        <f t="shared" si="35"/>
        <v>-8.4148</v>
      </c>
      <c r="E141" s="254">
        <f t="shared" si="36"/>
        <v>-8.4148</v>
      </c>
      <c r="F141" s="254">
        <f t="shared" si="37"/>
        <v>-7.131186441</v>
      </c>
      <c r="G141" s="254">
        <f t="shared" si="38"/>
        <v>-7.131186441</v>
      </c>
      <c r="H141" s="254">
        <f t="shared" si="39"/>
        <v>9.766672</v>
      </c>
      <c r="I141" s="254">
        <f t="shared" si="40"/>
        <v>0</v>
      </c>
      <c r="J141" s="267">
        <f t="shared" si="41"/>
        <v>0</v>
      </c>
      <c r="K141" s="254">
        <f t="shared" si="42"/>
        <v>1.228668271</v>
      </c>
    </row>
    <row r="142">
      <c r="A142" s="254">
        <v>10.0</v>
      </c>
      <c r="B142" s="267">
        <f t="shared" si="33"/>
        <v>10.483568</v>
      </c>
      <c r="C142" s="254">
        <f t="shared" si="34"/>
        <v>10.483568</v>
      </c>
      <c r="D142" s="254">
        <f t="shared" si="35"/>
        <v>-9.6388</v>
      </c>
      <c r="E142" s="254">
        <f t="shared" si="36"/>
        <v>-9.6388</v>
      </c>
      <c r="F142" s="254">
        <f t="shared" si="37"/>
        <v>-8.168474576</v>
      </c>
      <c r="G142" s="254">
        <f t="shared" si="38"/>
        <v>-8.168474576</v>
      </c>
      <c r="H142" s="254">
        <f t="shared" si="39"/>
        <v>10.483568</v>
      </c>
      <c r="I142" s="254">
        <f t="shared" si="40"/>
        <v>0</v>
      </c>
      <c r="J142" s="267">
        <f t="shared" si="41"/>
        <v>0</v>
      </c>
      <c r="K142" s="254">
        <f t="shared" si="42"/>
        <v>1.144648463</v>
      </c>
    </row>
    <row r="143">
      <c r="A143" s="254">
        <v>11.0</v>
      </c>
      <c r="B143" s="267">
        <f t="shared" si="33"/>
        <v>11.200464</v>
      </c>
      <c r="C143" s="254">
        <f t="shared" si="34"/>
        <v>11.200464</v>
      </c>
      <c r="D143" s="254">
        <f t="shared" si="35"/>
        <v>-10.8628</v>
      </c>
      <c r="E143" s="254">
        <f t="shared" si="36"/>
        <v>-10.8628</v>
      </c>
      <c r="F143" s="254">
        <f t="shared" si="37"/>
        <v>-9.205762712</v>
      </c>
      <c r="G143" s="254">
        <f t="shared" si="38"/>
        <v>-9.205762712</v>
      </c>
      <c r="H143" s="254">
        <f t="shared" si="39"/>
        <v>11.200464</v>
      </c>
      <c r="I143" s="254">
        <f t="shared" si="40"/>
        <v>0</v>
      </c>
      <c r="J143" s="267">
        <f t="shared" si="41"/>
        <v>0</v>
      </c>
      <c r="K143" s="254">
        <f t="shared" si="42"/>
        <v>1.071384186</v>
      </c>
    </row>
    <row r="144">
      <c r="A144" s="254">
        <v>12.0</v>
      </c>
      <c r="B144" s="267">
        <f t="shared" si="33"/>
        <v>11.91736</v>
      </c>
      <c r="C144" s="254">
        <f t="shared" si="34"/>
        <v>11.91736</v>
      </c>
      <c r="D144" s="254">
        <f t="shared" si="35"/>
        <v>-12.0868</v>
      </c>
      <c r="E144" s="254">
        <f t="shared" si="36"/>
        <v>-12.0868</v>
      </c>
      <c r="F144" s="254">
        <f t="shared" si="37"/>
        <v>-10.24305085</v>
      </c>
      <c r="G144" s="254">
        <f t="shared" si="38"/>
        <v>-10.24305085</v>
      </c>
      <c r="H144" s="254">
        <f t="shared" si="39"/>
        <v>11.91736</v>
      </c>
      <c r="I144" s="254">
        <f t="shared" si="40"/>
        <v>0</v>
      </c>
      <c r="J144" s="267">
        <f t="shared" si="41"/>
        <v>0</v>
      </c>
      <c r="K144" s="254">
        <f t="shared" si="42"/>
        <v>1.006934422</v>
      </c>
    </row>
    <row r="145">
      <c r="A145" s="254">
        <v>13.0</v>
      </c>
      <c r="B145" s="267">
        <f t="shared" si="33"/>
        <v>12.634256</v>
      </c>
      <c r="C145" s="254">
        <f t="shared" si="34"/>
        <v>12.634256</v>
      </c>
      <c r="D145" s="254">
        <f t="shared" si="35"/>
        <v>-13.3108</v>
      </c>
      <c r="E145" s="254">
        <f t="shared" si="36"/>
        <v>-13.3108</v>
      </c>
      <c r="F145" s="254">
        <f t="shared" si="37"/>
        <v>-11.28033898</v>
      </c>
      <c r="G145" s="254">
        <f t="shared" si="38"/>
        <v>-11.28033898</v>
      </c>
      <c r="H145" s="254">
        <f t="shared" si="39"/>
        <v>12.634256</v>
      </c>
      <c r="I145" s="254">
        <f t="shared" si="40"/>
        <v>0</v>
      </c>
      <c r="J145" s="267">
        <f t="shared" si="41"/>
        <v>0</v>
      </c>
      <c r="K145" s="254">
        <f t="shared" si="42"/>
        <v>0.949798706</v>
      </c>
    </row>
    <row r="146">
      <c r="A146" s="254">
        <v>14.0</v>
      </c>
      <c r="B146" s="267">
        <f t="shared" si="33"/>
        <v>13.351152</v>
      </c>
      <c r="C146" s="254">
        <f t="shared" si="34"/>
        <v>13.351152</v>
      </c>
      <c r="D146" s="254">
        <f t="shared" si="35"/>
        <v>-14.5348</v>
      </c>
      <c r="E146" s="254">
        <f t="shared" si="36"/>
        <v>-14.5348</v>
      </c>
      <c r="F146" s="254">
        <f t="shared" si="37"/>
        <v>-12.31762712</v>
      </c>
      <c r="G146" s="254">
        <f t="shared" si="38"/>
        <v>-12.31762712</v>
      </c>
      <c r="H146" s="254">
        <f t="shared" si="39"/>
        <v>13.351152</v>
      </c>
      <c r="I146" s="254">
        <f t="shared" si="40"/>
        <v>0</v>
      </c>
      <c r="J146" s="267">
        <f t="shared" si="41"/>
        <v>0</v>
      </c>
      <c r="K146" s="254">
        <f t="shared" si="42"/>
        <v>0.8987988452</v>
      </c>
    </row>
    <row r="147">
      <c r="A147" s="254">
        <v>15.0</v>
      </c>
      <c r="B147" s="267">
        <f t="shared" si="33"/>
        <v>14.068048</v>
      </c>
      <c r="C147" s="254">
        <f t="shared" si="34"/>
        <v>14.068048</v>
      </c>
      <c r="D147" s="254">
        <f t="shared" si="35"/>
        <v>-15.7588</v>
      </c>
      <c r="E147" s="254">
        <f t="shared" si="36"/>
        <v>-15.7588</v>
      </c>
      <c r="F147" s="254">
        <f t="shared" si="37"/>
        <v>-13.35491525</v>
      </c>
      <c r="G147" s="254">
        <f t="shared" si="38"/>
        <v>-13.35491525</v>
      </c>
      <c r="H147" s="254">
        <f t="shared" si="39"/>
        <v>14.068048</v>
      </c>
      <c r="I147" s="254">
        <f t="shared" si="40"/>
        <v>0</v>
      </c>
      <c r="J147" s="267">
        <f t="shared" si="41"/>
        <v>0</v>
      </c>
      <c r="K147" s="254">
        <f t="shared" si="42"/>
        <v>0.8529968052</v>
      </c>
    </row>
    <row r="148">
      <c r="A148" s="254">
        <v>16.0</v>
      </c>
      <c r="B148" s="267">
        <f t="shared" si="33"/>
        <v>14.784944</v>
      </c>
      <c r="C148" s="254">
        <f t="shared" si="34"/>
        <v>14.784944</v>
      </c>
      <c r="D148" s="254">
        <f t="shared" si="35"/>
        <v>-16.9828</v>
      </c>
      <c r="E148" s="254">
        <f t="shared" si="36"/>
        <v>-16.9828</v>
      </c>
      <c r="F148" s="254">
        <f t="shared" si="37"/>
        <v>-14.39220339</v>
      </c>
      <c r="G148" s="254">
        <f t="shared" si="38"/>
        <v>-14.39220339</v>
      </c>
      <c r="H148" s="254">
        <f t="shared" si="39"/>
        <v>14.784944</v>
      </c>
      <c r="I148" s="254">
        <f t="shared" si="40"/>
        <v>0</v>
      </c>
      <c r="J148" s="267">
        <f t="shared" si="41"/>
        <v>0</v>
      </c>
      <c r="K148" s="254">
        <f t="shared" si="42"/>
        <v>0.8116364864</v>
      </c>
    </row>
    <row r="149">
      <c r="A149" s="254">
        <v>17.0</v>
      </c>
      <c r="B149" s="267">
        <f t="shared" si="33"/>
        <v>15.50184</v>
      </c>
      <c r="C149" s="254">
        <f t="shared" si="34"/>
        <v>15.50184</v>
      </c>
      <c r="D149" s="254">
        <f t="shared" si="35"/>
        <v>-18.2068</v>
      </c>
      <c r="E149" s="254">
        <f t="shared" si="36"/>
        <v>-18.2068</v>
      </c>
      <c r="F149" s="254">
        <f t="shared" si="37"/>
        <v>-15.42949153</v>
      </c>
      <c r="G149" s="254">
        <f t="shared" si="38"/>
        <v>-15.42949153</v>
      </c>
      <c r="H149" s="254">
        <f t="shared" si="39"/>
        <v>15.50184</v>
      </c>
      <c r="I149" s="254">
        <f t="shared" si="40"/>
        <v>0</v>
      </c>
      <c r="J149" s="267">
        <f t="shared" si="41"/>
        <v>0</v>
      </c>
      <c r="K149" s="254">
        <f t="shared" si="42"/>
        <v>0.774101655</v>
      </c>
    </row>
    <row r="150">
      <c r="A150" s="254">
        <v>18.0</v>
      </c>
      <c r="B150" s="267">
        <f t="shared" si="33"/>
        <v>16.218736</v>
      </c>
      <c r="C150" s="254">
        <f t="shared" si="34"/>
        <v>16.218736</v>
      </c>
      <c r="D150" s="254">
        <f t="shared" si="35"/>
        <v>-19.4308</v>
      </c>
      <c r="E150" s="254">
        <f t="shared" si="36"/>
        <v>-19.4308</v>
      </c>
      <c r="F150" s="254">
        <f t="shared" si="37"/>
        <v>-16.46677966</v>
      </c>
      <c r="G150" s="254">
        <f t="shared" si="38"/>
        <v>-16.46677966</v>
      </c>
      <c r="H150" s="254">
        <f t="shared" si="39"/>
        <v>16.218736</v>
      </c>
      <c r="I150" s="254">
        <f t="shared" si="40"/>
        <v>0</v>
      </c>
      <c r="J150" s="267">
        <f t="shared" si="41"/>
        <v>0</v>
      </c>
      <c r="K150" s="254">
        <f t="shared" si="42"/>
        <v>0.7398850317</v>
      </c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</sheetData>
  <drawing r:id="rId1"/>
</worksheet>
</file>